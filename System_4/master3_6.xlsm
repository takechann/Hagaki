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1014114\Documents\プロジェクト学習\"/>
    </mc:Choice>
  </mc:AlternateContent>
  <bookViews>
    <workbookView xWindow="0" yWindow="0" windowWidth="20490" windowHeight="7770" activeTab="4"/>
  </bookViews>
  <sheets>
    <sheet name="園児情報" sheetId="15" r:id="rId1"/>
    <sheet name="保育士情報" sheetId="2" r:id="rId2"/>
    <sheet name="保育体制確認表" sheetId="7" r:id="rId3"/>
    <sheet name="勤務表" sheetId="5" r:id="rId4"/>
    <sheet name="ガントチャート" sheetId="13" r:id="rId5"/>
    <sheet name="卒園児" sheetId="14" r:id="rId6"/>
    <sheet name="Sheet5" sheetId="12" state="hidden" r:id="rId7"/>
    <sheet name="データ" sheetId="8" state="hidden" r:id="rId8"/>
    <sheet name="祝日データ" sheetId="6" state="hidden" r:id="rId9"/>
  </sheets>
  <externalReferences>
    <externalReference r:id="rId10"/>
    <externalReference r:id="rId11"/>
  </externalReferences>
  <definedNames>
    <definedName name="_xlnm.Print_Area" localSheetId="3">勤務表!$B$2:$Z$21</definedName>
    <definedName name="_xlnm.Print_Area" localSheetId="2">保育体制確認表!$B$1:$AR$27</definedName>
    <definedName name="保育士" localSheetId="4">[1]保育士情報!$AS$4:$AS$21</definedName>
    <definedName name="保育士" localSheetId="0">[2]保育士情報!$AS$4:$AS$21</definedName>
    <definedName name="保育士" localSheetId="5">[2]保育士情報!$AS$4:$AS$21</definedName>
    <definedName name="保育士">保育士情報!$AS$4:$AS$21</definedName>
  </definedNames>
  <calcPr calcId="152511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3" i="13" l="1"/>
  <c r="G3" i="13" s="1"/>
  <c r="I3" i="13" s="1"/>
  <c r="K3" i="13" s="1"/>
  <c r="M3" i="13" s="1"/>
  <c r="O3" i="13" s="1"/>
  <c r="Q3" i="13" s="1"/>
  <c r="S3" i="13" s="1"/>
  <c r="U3" i="13" s="1"/>
  <c r="W3" i="13" s="1"/>
  <c r="Y3" i="13" s="1"/>
  <c r="AA3" i="13" s="1"/>
  <c r="AC3" i="13" s="1"/>
  <c r="AE3" i="13" s="1"/>
  <c r="AG3" i="13" s="1"/>
  <c r="AI3" i="13" s="1"/>
  <c r="AK3" i="13" s="1"/>
  <c r="AM3" i="13" s="1"/>
  <c r="AO3" i="13" s="1"/>
  <c r="AQ3" i="13" s="1"/>
  <c r="AS3" i="13" s="1"/>
  <c r="AU3" i="13" s="1"/>
  <c r="AW3" i="13" s="1"/>
  <c r="AY3" i="13" s="1"/>
  <c r="BA3" i="13" s="1"/>
  <c r="C6" i="7" l="1"/>
  <c r="C24" i="7" s="1"/>
  <c r="C18" i="7" l="1"/>
  <c r="C21" i="7"/>
  <c r="C11" i="7"/>
  <c r="C14" i="7"/>
  <c r="E6" i="7"/>
  <c r="E24" i="7" s="1"/>
  <c r="C8" i="7"/>
  <c r="E5" i="15"/>
  <c r="BV5" i="15"/>
  <c r="BU5" i="15" s="1"/>
  <c r="BW5" i="15"/>
  <c r="E6" i="15"/>
  <c r="BV6" i="15"/>
  <c r="BU6" i="15" s="1"/>
  <c r="BW6" i="15"/>
  <c r="E7" i="15"/>
  <c r="BV7" i="15"/>
  <c r="BW7" i="15"/>
  <c r="E8" i="15"/>
  <c r="BV8" i="15"/>
  <c r="BW8" i="15"/>
  <c r="E9" i="15"/>
  <c r="BV9" i="15"/>
  <c r="BW9" i="15"/>
  <c r="E10" i="15"/>
  <c r="BV10" i="15"/>
  <c r="BU10" i="15" s="1"/>
  <c r="BW10" i="15"/>
  <c r="E11" i="15"/>
  <c r="BV11" i="15"/>
  <c r="BW11" i="15"/>
  <c r="E12" i="15"/>
  <c r="BV12" i="15"/>
  <c r="BW12" i="15"/>
  <c r="E13" i="15"/>
  <c r="BV13" i="15"/>
  <c r="BW13" i="15"/>
  <c r="E14" i="15"/>
  <c r="BV14" i="15"/>
  <c r="BU14" i="15" s="1"/>
  <c r="BW14" i="15"/>
  <c r="E15" i="15"/>
  <c r="BV15" i="15"/>
  <c r="BW15" i="15"/>
  <c r="E16" i="15"/>
  <c r="BV16" i="15"/>
  <c r="BW16" i="15"/>
  <c r="E17" i="15"/>
  <c r="BV17" i="15"/>
  <c r="BW17" i="15"/>
  <c r="E18" i="15"/>
  <c r="BV18" i="15"/>
  <c r="BW18" i="15"/>
  <c r="E19" i="15"/>
  <c r="BV19" i="15"/>
  <c r="BW19" i="15"/>
  <c r="E20" i="15"/>
  <c r="BV20" i="15"/>
  <c r="BW20" i="15"/>
  <c r="E21" i="15"/>
  <c r="BV21" i="15"/>
  <c r="BW21" i="15"/>
  <c r="E22" i="15"/>
  <c r="BV22" i="15"/>
  <c r="BU22" i="15" s="1"/>
  <c r="BW22" i="15"/>
  <c r="E23" i="15"/>
  <c r="BV23" i="15"/>
  <c r="BW23" i="15"/>
  <c r="E24" i="15"/>
  <c r="BV24" i="15"/>
  <c r="BW24" i="15"/>
  <c r="E25" i="15"/>
  <c r="BV25" i="15"/>
  <c r="BW25" i="15"/>
  <c r="E26" i="15"/>
  <c r="BV26" i="15"/>
  <c r="BU26" i="15" s="1"/>
  <c r="BW26" i="15"/>
  <c r="E27" i="15"/>
  <c r="BV27" i="15"/>
  <c r="BW27" i="15"/>
  <c r="E28" i="15"/>
  <c r="BV28" i="15"/>
  <c r="BW28" i="15"/>
  <c r="E29" i="15"/>
  <c r="BV29" i="15"/>
  <c r="BW29" i="15"/>
  <c r="E30" i="15"/>
  <c r="BV30" i="15"/>
  <c r="BU30" i="15" s="1"/>
  <c r="BW30" i="15"/>
  <c r="E31" i="15"/>
  <c r="BV31" i="15"/>
  <c r="BW31" i="15"/>
  <c r="E32" i="15"/>
  <c r="BV32" i="15"/>
  <c r="BW32" i="15"/>
  <c r="E33" i="15"/>
  <c r="BV33" i="15"/>
  <c r="BW33" i="15"/>
  <c r="E34" i="15"/>
  <c r="BV34" i="15"/>
  <c r="BU34" i="15" s="1"/>
  <c r="BW34" i="15"/>
  <c r="E35" i="15"/>
  <c r="BV35" i="15"/>
  <c r="BW35" i="15"/>
  <c r="E36" i="15"/>
  <c r="BV36" i="15"/>
  <c r="BW36" i="15"/>
  <c r="E37" i="15"/>
  <c r="BV37" i="15"/>
  <c r="BW37" i="15"/>
  <c r="E38" i="15"/>
  <c r="BV38" i="15"/>
  <c r="BU38" i="15" s="1"/>
  <c r="BW38" i="15"/>
  <c r="E18" i="7" l="1"/>
  <c r="E21" i="7"/>
  <c r="E11" i="7"/>
  <c r="E14" i="7"/>
  <c r="G6" i="7"/>
  <c r="G24" i="7" s="1"/>
  <c r="E8" i="7"/>
  <c r="BU18" i="15"/>
  <c r="BU37" i="15"/>
  <c r="BU33" i="15"/>
  <c r="BU29" i="15"/>
  <c r="BU25" i="15"/>
  <c r="BU21" i="15"/>
  <c r="BU17" i="15"/>
  <c r="BU13" i="15"/>
  <c r="BU9" i="15"/>
  <c r="BU35" i="15"/>
  <c r="BU31" i="15"/>
  <c r="BU27" i="15"/>
  <c r="BU23" i="15"/>
  <c r="BU19" i="15"/>
  <c r="BU15" i="15"/>
  <c r="BU11" i="15"/>
  <c r="BU7" i="15"/>
  <c r="BU36" i="15"/>
  <c r="BU32" i="15"/>
  <c r="BU28" i="15"/>
  <c r="BU24" i="15"/>
  <c r="BU20" i="15"/>
  <c r="BU16" i="15"/>
  <c r="BU12" i="15"/>
  <c r="BU8" i="15"/>
  <c r="G18" i="7" l="1"/>
  <c r="G21" i="7"/>
  <c r="G11" i="7"/>
  <c r="G14" i="7"/>
  <c r="I6" i="7"/>
  <c r="I24" i="7" s="1"/>
  <c r="G8" i="7"/>
  <c r="AS23" i="2"/>
  <c r="AS22" i="2"/>
  <c r="AS21" i="2"/>
  <c r="AS20" i="2"/>
  <c r="I18" i="7" l="1"/>
  <c r="I21" i="7"/>
  <c r="I11" i="7"/>
  <c r="I14" i="7"/>
  <c r="K6" i="7"/>
  <c r="K24" i="7" s="1"/>
  <c r="I8" i="7"/>
  <c r="AP17" i="7"/>
  <c r="AL17" i="7"/>
  <c r="AJ17" i="7"/>
  <c r="AH17" i="7"/>
  <c r="AS51" i="2"/>
  <c r="AS50" i="2"/>
  <c r="AS19" i="2"/>
  <c r="AS18" i="2"/>
  <c r="AS17" i="2"/>
  <c r="AS16" i="2"/>
  <c r="AS15" i="2"/>
  <c r="AS14" i="2"/>
  <c r="AS13" i="2"/>
  <c r="AS12" i="2"/>
  <c r="AS11" i="2"/>
  <c r="AS10" i="2"/>
  <c r="AS9" i="2"/>
  <c r="AS8" i="2"/>
  <c r="AS7" i="2"/>
  <c r="AS6" i="2"/>
  <c r="AS5" i="2"/>
  <c r="B5" i="8"/>
  <c r="B3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1" i="8"/>
  <c r="B12" i="8"/>
  <c r="B10" i="8"/>
  <c r="B9" i="8"/>
  <c r="B8" i="8"/>
  <c r="B7" i="8"/>
  <c r="B6" i="8"/>
  <c r="B27" i="8"/>
  <c r="B28" i="8"/>
  <c r="B29" i="8"/>
  <c r="E3" i="5"/>
  <c r="F3" i="5" s="1"/>
  <c r="G3" i="5" s="1"/>
  <c r="H3" i="5" s="1"/>
  <c r="I3" i="5" s="1"/>
  <c r="J3" i="5" s="1"/>
  <c r="K3" i="5" s="1"/>
  <c r="L3" i="5" s="1"/>
  <c r="M3" i="5" s="1"/>
  <c r="N3" i="5" s="1"/>
  <c r="O3" i="5" s="1"/>
  <c r="P3" i="5" s="1"/>
  <c r="Q3" i="5" s="1"/>
  <c r="R3" i="5" s="1"/>
  <c r="S3" i="5" s="1"/>
  <c r="T3" i="5" s="1"/>
  <c r="U3" i="5" s="1"/>
  <c r="V3" i="5" s="1"/>
  <c r="W3" i="5" s="1"/>
  <c r="X3" i="5" s="1"/>
  <c r="Y3" i="5" s="1"/>
  <c r="Z3" i="5" s="1"/>
  <c r="AA3" i="5" s="1"/>
  <c r="AB3" i="5" s="1"/>
  <c r="AC3" i="5" s="1"/>
  <c r="AD3" i="5" s="1"/>
  <c r="AE3" i="5" s="1"/>
  <c r="AF3" i="5" s="1"/>
  <c r="AG3" i="5" s="1"/>
  <c r="AH3" i="5" s="1"/>
  <c r="AI3" i="5" s="1"/>
  <c r="AJ3" i="5" s="1"/>
  <c r="AK3" i="5" s="1"/>
  <c r="AL3" i="5" s="1"/>
  <c r="AM3" i="5" s="1"/>
  <c r="AN3" i="5" s="1"/>
  <c r="AO3" i="5" s="1"/>
  <c r="K18" i="7" l="1"/>
  <c r="K21" i="7"/>
  <c r="K11" i="7"/>
  <c r="K14" i="7"/>
  <c r="M6" i="7"/>
  <c r="M24" i="7" s="1"/>
  <c r="K8" i="7"/>
  <c r="C13" i="7"/>
  <c r="C26" i="7"/>
  <c r="C20" i="7"/>
  <c r="G26" i="7"/>
  <c r="G10" i="7"/>
  <c r="G13" i="7"/>
  <c r="G23" i="7"/>
  <c r="G16" i="7"/>
  <c r="G20" i="7"/>
  <c r="E20" i="7"/>
  <c r="E16" i="7"/>
  <c r="E26" i="7"/>
  <c r="E10" i="7"/>
  <c r="E13" i="7"/>
  <c r="E23" i="7"/>
  <c r="C16" i="7"/>
  <c r="C23" i="7"/>
  <c r="C10" i="7"/>
  <c r="M18" i="7" l="1"/>
  <c r="M21" i="7"/>
  <c r="M11" i="7"/>
  <c r="M14" i="7"/>
  <c r="O6" i="7"/>
  <c r="O24" i="7" s="1"/>
  <c r="M8" i="7"/>
  <c r="G27" i="7"/>
  <c r="C27" i="7"/>
  <c r="C7" i="7"/>
  <c r="E27" i="7"/>
  <c r="G17" i="7"/>
  <c r="E17" i="7"/>
  <c r="C17" i="7"/>
  <c r="D27" i="7"/>
  <c r="H27" i="7"/>
  <c r="E7" i="7"/>
  <c r="F27" i="7"/>
  <c r="H17" i="7"/>
  <c r="D17" i="7"/>
  <c r="F17" i="7"/>
  <c r="I26" i="7"/>
  <c r="I10" i="7"/>
  <c r="I13" i="7"/>
  <c r="I23" i="7"/>
  <c r="I20" i="7"/>
  <c r="I16" i="7"/>
  <c r="G7" i="7"/>
  <c r="O18" i="7" l="1"/>
  <c r="O21" i="7"/>
  <c r="O11" i="7"/>
  <c r="O14" i="7"/>
  <c r="Q6" i="7"/>
  <c r="Q24" i="7" s="1"/>
  <c r="O8" i="7"/>
  <c r="I27" i="7"/>
  <c r="I17" i="7"/>
  <c r="I7" i="7"/>
  <c r="K26" i="7"/>
  <c r="K10" i="7"/>
  <c r="K13" i="7"/>
  <c r="K23" i="7"/>
  <c r="K20" i="7"/>
  <c r="K16" i="7"/>
  <c r="J17" i="7"/>
  <c r="J27" i="7"/>
  <c r="Q18" i="7" l="1"/>
  <c r="Q21" i="7"/>
  <c r="Q11" i="7"/>
  <c r="Q14" i="7"/>
  <c r="S6" i="7"/>
  <c r="S24" i="7" s="1"/>
  <c r="Q8" i="7"/>
  <c r="K27" i="7"/>
  <c r="K17" i="7"/>
  <c r="L17" i="7"/>
  <c r="K7" i="7"/>
  <c r="L27" i="7"/>
  <c r="M26" i="7"/>
  <c r="M10" i="7"/>
  <c r="M13" i="7"/>
  <c r="M23" i="7"/>
  <c r="M16" i="7"/>
  <c r="M20" i="7"/>
  <c r="S18" i="7" l="1"/>
  <c r="S21" i="7"/>
  <c r="S11" i="7"/>
  <c r="S14" i="7"/>
  <c r="U6" i="7"/>
  <c r="U24" i="7" s="1"/>
  <c r="S8" i="7"/>
  <c r="M27" i="7"/>
  <c r="M17" i="7"/>
  <c r="N27" i="7"/>
  <c r="M7" i="7"/>
  <c r="N17" i="7"/>
  <c r="O26" i="7"/>
  <c r="O10" i="7"/>
  <c r="O13" i="7"/>
  <c r="O23" i="7"/>
  <c r="O16" i="7"/>
  <c r="O20" i="7"/>
  <c r="U18" i="7" l="1"/>
  <c r="U21" i="7"/>
  <c r="U11" i="7"/>
  <c r="U14" i="7"/>
  <c r="W6" i="7"/>
  <c r="W24" i="7" s="1"/>
  <c r="U8" i="7"/>
  <c r="O27" i="7"/>
  <c r="O17" i="7"/>
  <c r="P17" i="7"/>
  <c r="O7" i="7"/>
  <c r="P27" i="7"/>
  <c r="Q26" i="7"/>
  <c r="Q10" i="7"/>
  <c r="Q13" i="7"/>
  <c r="Q23" i="7"/>
  <c r="Q20" i="7"/>
  <c r="Q16" i="7"/>
  <c r="W18" i="7" l="1"/>
  <c r="W21" i="7"/>
  <c r="W11" i="7"/>
  <c r="W14" i="7"/>
  <c r="Y6" i="7"/>
  <c r="Y24" i="7" s="1"/>
  <c r="W8" i="7"/>
  <c r="Q27" i="7"/>
  <c r="Q17" i="7"/>
  <c r="R27" i="7"/>
  <c r="R17" i="7"/>
  <c r="S26" i="7"/>
  <c r="S10" i="7"/>
  <c r="S13" i="7"/>
  <c r="S23" i="7"/>
  <c r="S20" i="7"/>
  <c r="S16" i="7"/>
  <c r="Q7" i="7"/>
  <c r="Y18" i="7" l="1"/>
  <c r="Y21" i="7"/>
  <c r="Y11" i="7"/>
  <c r="Y14" i="7"/>
  <c r="AA6" i="7"/>
  <c r="AA24" i="7" s="1"/>
  <c r="Y8" i="7"/>
  <c r="S27" i="7"/>
  <c r="S17" i="7"/>
  <c r="T17" i="7"/>
  <c r="S7" i="7"/>
  <c r="T27" i="7"/>
  <c r="U26" i="7"/>
  <c r="U10" i="7"/>
  <c r="U13" i="7"/>
  <c r="U23" i="7"/>
  <c r="U16" i="7"/>
  <c r="U20" i="7"/>
  <c r="AA18" i="7" l="1"/>
  <c r="AA21" i="7"/>
  <c r="AA11" i="7"/>
  <c r="AA14" i="7"/>
  <c r="AC6" i="7"/>
  <c r="AC24" i="7" s="1"/>
  <c r="AA8" i="7"/>
  <c r="U27" i="7"/>
  <c r="U17" i="7"/>
  <c r="V17" i="7"/>
  <c r="V27" i="7"/>
  <c r="W26" i="7"/>
  <c r="W10" i="7"/>
  <c r="W13" i="7"/>
  <c r="W23" i="7"/>
  <c r="W16" i="7"/>
  <c r="W20" i="7"/>
  <c r="U7" i="7"/>
  <c r="AC18" i="7" l="1"/>
  <c r="AC21" i="7"/>
  <c r="AC11" i="7"/>
  <c r="AC14" i="7"/>
  <c r="AE6" i="7"/>
  <c r="AE24" i="7" s="1"/>
  <c r="AC8" i="7"/>
  <c r="W27" i="7"/>
  <c r="W17" i="7"/>
  <c r="W7" i="7"/>
  <c r="X17" i="7"/>
  <c r="X27" i="7"/>
  <c r="Y26" i="7"/>
  <c r="Y10" i="7"/>
  <c r="Y13" i="7"/>
  <c r="Y23" i="7"/>
  <c r="Y20" i="7"/>
  <c r="Y16" i="7"/>
  <c r="AE18" i="7" l="1"/>
  <c r="AE21" i="7"/>
  <c r="AE11" i="7"/>
  <c r="AE14" i="7"/>
  <c r="AG6" i="7"/>
  <c r="AG24" i="7" s="1"/>
  <c r="AE8" i="7"/>
  <c r="Y27" i="7"/>
  <c r="Y17" i="7"/>
  <c r="Z17" i="7"/>
  <c r="Z27" i="7"/>
  <c r="Y7" i="7"/>
  <c r="AA26" i="7"/>
  <c r="AA10" i="7"/>
  <c r="AA13" i="7"/>
  <c r="AA23" i="7"/>
  <c r="AA20" i="7"/>
  <c r="AA16" i="7"/>
  <c r="AG18" i="7" l="1"/>
  <c r="AG21" i="7"/>
  <c r="AG11" i="7"/>
  <c r="AG14" i="7"/>
  <c r="AI6" i="7"/>
  <c r="AI24" i="7" s="1"/>
  <c r="AG8" i="7"/>
  <c r="AA27" i="7"/>
  <c r="AA17" i="7"/>
  <c r="AB27" i="7"/>
  <c r="AA7" i="7"/>
  <c r="AB17" i="7"/>
  <c r="AC26" i="7"/>
  <c r="AC10" i="7"/>
  <c r="AC13" i="7"/>
  <c r="AC23" i="7"/>
  <c r="AE26" i="7"/>
  <c r="AC16" i="7"/>
  <c r="AC20" i="7"/>
  <c r="AI18" i="7" l="1"/>
  <c r="AI21" i="7"/>
  <c r="AI11" i="7"/>
  <c r="AI14" i="7"/>
  <c r="AK6" i="7"/>
  <c r="AK24" i="7" s="1"/>
  <c r="AI8" i="7"/>
  <c r="AE20" i="7"/>
  <c r="AE23" i="7"/>
  <c r="AE13" i="7"/>
  <c r="AE16" i="7"/>
  <c r="AC27" i="7"/>
  <c r="AC17" i="7"/>
  <c r="AD27" i="7"/>
  <c r="AD17" i="7"/>
  <c r="AE10" i="7"/>
  <c r="AG26" i="7"/>
  <c r="AC7" i="7"/>
  <c r="AK18" i="7" l="1"/>
  <c r="AK21" i="7"/>
  <c r="AK11" i="7"/>
  <c r="AK14" i="7"/>
  <c r="AM6" i="7"/>
  <c r="AM24" i="7" s="1"/>
  <c r="AK8" i="7"/>
  <c r="AG20" i="7"/>
  <c r="AG23" i="7"/>
  <c r="AG13" i="7"/>
  <c r="AG16" i="7"/>
  <c r="AE27" i="7"/>
  <c r="AE17" i="7"/>
  <c r="AE7" i="7"/>
  <c r="AF27" i="7"/>
  <c r="AF17" i="7"/>
  <c r="AI26" i="7"/>
  <c r="AG27" i="7"/>
  <c r="AG10" i="7"/>
  <c r="AM18" i="7" l="1"/>
  <c r="AM21" i="7"/>
  <c r="AM11" i="7"/>
  <c r="AM14" i="7"/>
  <c r="AO6" i="7"/>
  <c r="AO24" i="7" s="1"/>
  <c r="AM8" i="7"/>
  <c r="AI20" i="7"/>
  <c r="AI23" i="7"/>
  <c r="AI13" i="7"/>
  <c r="AI16" i="7"/>
  <c r="AH27" i="7"/>
  <c r="AG7" i="7"/>
  <c r="AJ27" i="7"/>
  <c r="AK26" i="7"/>
  <c r="AI27" i="7"/>
  <c r="AI7" i="7"/>
  <c r="AI10" i="7"/>
  <c r="AO18" i="7" l="1"/>
  <c r="AO21" i="7"/>
  <c r="AO11" i="7"/>
  <c r="AO14" i="7"/>
  <c r="AQ6" i="7"/>
  <c r="AQ24" i="7" s="1"/>
  <c r="AO8" i="7"/>
  <c r="AK20" i="7"/>
  <c r="AK23" i="7"/>
  <c r="AK13" i="7"/>
  <c r="AK16" i="7"/>
  <c r="AK27" i="7"/>
  <c r="AL27" i="7"/>
  <c r="AM26" i="7"/>
  <c r="AK7" i="7"/>
  <c r="AK10" i="7"/>
  <c r="AQ18" i="7" l="1"/>
  <c r="AQ21" i="7"/>
  <c r="AQ11" i="7"/>
  <c r="AQ14" i="7"/>
  <c r="AS6" i="7"/>
  <c r="AS24" i="7" s="1"/>
  <c r="AQ8" i="7"/>
  <c r="AM20" i="7"/>
  <c r="AM23" i="7"/>
  <c r="AM13" i="7"/>
  <c r="AM16" i="7"/>
  <c r="AN17" i="7"/>
  <c r="AO26" i="7"/>
  <c r="AM27" i="7"/>
  <c r="AN27" i="7"/>
  <c r="AM10" i="7"/>
  <c r="AM7" i="7"/>
  <c r="AS18" i="7" l="1"/>
  <c r="AS21" i="7"/>
  <c r="AS11" i="7"/>
  <c r="AS14" i="7"/>
  <c r="AU6" i="7"/>
  <c r="AS8" i="7"/>
  <c r="AO20" i="7"/>
  <c r="AO23" i="7"/>
  <c r="AO13" i="7"/>
  <c r="AO16" i="7"/>
  <c r="AQ26" i="7"/>
  <c r="AP27" i="7"/>
  <c r="AS26" i="7"/>
  <c r="AO10" i="7"/>
  <c r="AO7" i="7"/>
  <c r="AO27" i="7"/>
  <c r="AU21" i="7" l="1"/>
  <c r="AU24" i="7"/>
  <c r="AU26" i="7" s="1"/>
  <c r="AU14" i="7"/>
  <c r="AU18" i="7"/>
  <c r="AU8" i="7"/>
  <c r="AU11" i="7"/>
  <c r="AS20" i="7"/>
  <c r="AS23" i="7"/>
  <c r="AQ20" i="7"/>
  <c r="AQ23" i="7"/>
  <c r="AQ13" i="7"/>
  <c r="AQ16" i="7"/>
  <c r="AS13" i="7"/>
  <c r="AS16" i="7"/>
  <c r="AS27" i="7"/>
  <c r="AT17" i="7"/>
  <c r="AS10" i="7"/>
  <c r="AT27" i="7"/>
  <c r="AS7" i="7"/>
  <c r="AR27" i="7"/>
  <c r="AQ27" i="7"/>
  <c r="AQ10" i="7"/>
  <c r="AR17" i="7"/>
  <c r="AQ7" i="7"/>
  <c r="AU23" i="7" l="1"/>
  <c r="B25" i="7" s="1"/>
  <c r="AU16" i="7"/>
  <c r="AV17" i="7"/>
  <c r="AV27" i="7"/>
  <c r="AU7" i="7"/>
  <c r="AU27" i="7"/>
  <c r="AU10" i="7"/>
  <c r="B19" i="7" l="1"/>
  <c r="AU20" i="7"/>
  <c r="B22" i="7" s="1"/>
  <c r="B12" i="7"/>
  <c r="AU13" i="7"/>
  <c r="B15" i="7" s="1"/>
  <c r="B9" i="7"/>
</calcChain>
</file>

<file path=xl/sharedStrings.xml><?xml version="1.0" encoding="utf-8"?>
<sst xmlns="http://schemas.openxmlformats.org/spreadsheetml/2006/main" count="506" uniqueCount="159">
  <si>
    <t>名前</t>
    <rPh sb="0" eb="2">
      <t>ナマエ</t>
    </rPh>
    <phoneticPr fontId="1"/>
  </si>
  <si>
    <t>年齢</t>
    <rPh sb="0" eb="2">
      <t>ネンレイ</t>
    </rPh>
    <phoneticPr fontId="1"/>
  </si>
  <si>
    <t>登園時間</t>
    <rPh sb="0" eb="2">
      <t>トウエン</t>
    </rPh>
    <rPh sb="2" eb="4">
      <t>ジカン</t>
    </rPh>
    <phoneticPr fontId="1"/>
  </si>
  <si>
    <t>帰宅時間</t>
    <rPh sb="0" eb="2">
      <t>キタク</t>
    </rPh>
    <rPh sb="2" eb="4">
      <t>ジカン</t>
    </rPh>
    <phoneticPr fontId="1"/>
  </si>
  <si>
    <t>誕生日</t>
    <rPh sb="0" eb="3">
      <t>タンジョウビ</t>
    </rPh>
    <phoneticPr fontId="1"/>
  </si>
  <si>
    <t>クラス</t>
    <phoneticPr fontId="1"/>
  </si>
  <si>
    <t>ぞう</t>
    <phoneticPr fontId="1"/>
  </si>
  <si>
    <t>うさぎ</t>
    <phoneticPr fontId="1"/>
  </si>
  <si>
    <t>担当クラス</t>
    <rPh sb="0" eb="2">
      <t>タントウ</t>
    </rPh>
    <phoneticPr fontId="1"/>
  </si>
  <si>
    <t>正職員</t>
    <phoneticPr fontId="1"/>
  </si>
  <si>
    <t>くじら</t>
    <phoneticPr fontId="1"/>
  </si>
  <si>
    <t>かば</t>
    <phoneticPr fontId="1"/>
  </si>
  <si>
    <t>いるか</t>
    <phoneticPr fontId="1"/>
  </si>
  <si>
    <t>パート</t>
    <phoneticPr fontId="1"/>
  </si>
  <si>
    <t>正職員</t>
    <phoneticPr fontId="1"/>
  </si>
  <si>
    <t>ひよこ</t>
    <phoneticPr fontId="1"/>
  </si>
  <si>
    <t>いるか</t>
  </si>
  <si>
    <t>園児J</t>
    <rPh sb="0" eb="2">
      <t>エンジ</t>
    </rPh>
    <phoneticPr fontId="1"/>
  </si>
  <si>
    <t>園児L</t>
    <rPh sb="0" eb="2">
      <t>エンジ</t>
    </rPh>
    <phoneticPr fontId="1"/>
  </si>
  <si>
    <t>園児N</t>
    <rPh sb="0" eb="2">
      <t>エンジ</t>
    </rPh>
    <phoneticPr fontId="1"/>
  </si>
  <si>
    <t>園児O</t>
    <rPh sb="0" eb="2">
      <t>エンジ</t>
    </rPh>
    <phoneticPr fontId="1"/>
  </si>
  <si>
    <t>園児P</t>
    <rPh sb="0" eb="2">
      <t>エンジ</t>
    </rPh>
    <phoneticPr fontId="1"/>
  </si>
  <si>
    <t>園児S</t>
  </si>
  <si>
    <t>保育士数</t>
    <rPh sb="3" eb="4">
      <t>スウ</t>
    </rPh>
    <phoneticPr fontId="1"/>
  </si>
  <si>
    <t>ひよこ</t>
  </si>
  <si>
    <t>園児U</t>
  </si>
  <si>
    <t>園児V</t>
  </si>
  <si>
    <t>うさぎ</t>
  </si>
  <si>
    <t>園児X</t>
  </si>
  <si>
    <t>園児Y</t>
  </si>
  <si>
    <t>くじら</t>
  </si>
  <si>
    <t>月</t>
    <rPh sb="0" eb="1">
      <t>ツキ</t>
    </rPh>
    <phoneticPr fontId="1"/>
  </si>
  <si>
    <t>年</t>
    <rPh sb="0" eb="1">
      <t>ネン</t>
    </rPh>
    <phoneticPr fontId="1"/>
  </si>
  <si>
    <t>正職員</t>
  </si>
  <si>
    <t>フリー</t>
  </si>
  <si>
    <t>小嶋 凌弥</t>
    <rPh sb="0" eb="2">
      <t>コジマ</t>
    </rPh>
    <rPh sb="3" eb="5">
      <t>リョウヤ</t>
    </rPh>
    <phoneticPr fontId="1"/>
  </si>
  <si>
    <t>渡邉 隆広</t>
    <rPh sb="0" eb="2">
      <t>ワタナベ</t>
    </rPh>
    <phoneticPr fontId="1"/>
  </si>
  <si>
    <t>黒瀬 丈哉</t>
    <rPh sb="0" eb="2">
      <t>クロセ</t>
    </rPh>
    <phoneticPr fontId="1"/>
  </si>
  <si>
    <t>大谷 笙互</t>
    <rPh sb="0" eb="2">
      <t>オオタニ</t>
    </rPh>
    <phoneticPr fontId="1"/>
  </si>
  <si>
    <t>神 秀樹</t>
    <rPh sb="0" eb="1">
      <t>ジン</t>
    </rPh>
    <phoneticPr fontId="1"/>
  </si>
  <si>
    <t>佐藤 恭祐</t>
    <rPh sb="0" eb="2">
      <t>サトウ</t>
    </rPh>
    <phoneticPr fontId="1"/>
  </si>
  <si>
    <t>時間/日付</t>
    <rPh sb="0" eb="2">
      <t>ジカン</t>
    </rPh>
    <phoneticPr fontId="1"/>
  </si>
  <si>
    <t>遅番</t>
  </si>
  <si>
    <t>山田 太郎</t>
  </si>
  <si>
    <t>鈴木 一郎</t>
  </si>
  <si>
    <t>高橋 淳平</t>
  </si>
  <si>
    <t>かば</t>
  </si>
  <si>
    <t>斉藤 隆司</t>
  </si>
  <si>
    <t>ぞう</t>
  </si>
  <si>
    <t>田中 康介</t>
  </si>
  <si>
    <t>パート</t>
  </si>
  <si>
    <t>向井 和馬</t>
    <phoneticPr fontId="1"/>
  </si>
  <si>
    <t>大西 雅也</t>
  </si>
  <si>
    <t>三好 良弥</t>
  </si>
  <si>
    <t>伊藤 泰斗</t>
  </si>
  <si>
    <t>～</t>
    <phoneticPr fontId="1"/>
  </si>
  <si>
    <t>園児A</t>
  </si>
  <si>
    <t>園児Z</t>
  </si>
  <si>
    <r>
      <t>担当保育士数</t>
    </r>
    <r>
      <rPr>
        <sz val="10"/>
        <color rgb="FF000000"/>
        <rFont val="Arial"/>
        <family val="2"/>
      </rPr>
      <t>/</t>
    </r>
    <r>
      <rPr>
        <sz val="10"/>
        <color rgb="FF000000"/>
        <rFont val="ＭＳ Ｐゴシック"/>
        <family val="3"/>
        <charset val="128"/>
      </rPr>
      <t>園児合計</t>
    </r>
    <phoneticPr fontId="1"/>
  </si>
  <si>
    <t>担当保育士数</t>
    <phoneticPr fontId="1"/>
  </si>
  <si>
    <t>いるか</t>
    <phoneticPr fontId="1"/>
  </si>
  <si>
    <t>くじら</t>
    <phoneticPr fontId="1"/>
  </si>
  <si>
    <t>ぞう</t>
    <phoneticPr fontId="1"/>
  </si>
  <si>
    <t>かば</t>
    <phoneticPr fontId="1"/>
  </si>
  <si>
    <t>うさぎ</t>
    <phoneticPr fontId="1"/>
  </si>
  <si>
    <t>ひよこ</t>
    <phoneticPr fontId="1"/>
  </si>
  <si>
    <t>時間</t>
    <phoneticPr fontId="1"/>
  </si>
  <si>
    <t>保育体制確認表</t>
    <phoneticPr fontId="1"/>
  </si>
  <si>
    <t>保育士</t>
    <phoneticPr fontId="1"/>
  </si>
  <si>
    <t>雇用形態</t>
    <phoneticPr fontId="1"/>
  </si>
  <si>
    <t>小嶋</t>
  </si>
  <si>
    <t>山田</t>
  </si>
  <si>
    <t>黒瀬</t>
  </si>
  <si>
    <t>大谷</t>
  </si>
  <si>
    <t>神</t>
  </si>
  <si>
    <t>田中</t>
  </si>
  <si>
    <t>向井</t>
  </si>
  <si>
    <t>伊藤</t>
  </si>
  <si>
    <t>大西</t>
  </si>
  <si>
    <t>三好</t>
  </si>
  <si>
    <t>高橋</t>
  </si>
  <si>
    <t>渡邉</t>
  </si>
  <si>
    <t>佐藤</t>
  </si>
  <si>
    <t>鈴木</t>
  </si>
  <si>
    <t>斉藤</t>
  </si>
  <si>
    <t>伊藤</t>
    <phoneticPr fontId="1"/>
  </si>
  <si>
    <t>高橋</t>
    <phoneticPr fontId="1"/>
  </si>
  <si>
    <t>大西</t>
    <phoneticPr fontId="1"/>
  </si>
  <si>
    <t>佐藤</t>
    <phoneticPr fontId="1"/>
  </si>
  <si>
    <t>山田</t>
    <phoneticPr fontId="1"/>
  </si>
  <si>
    <t>鈴木</t>
    <phoneticPr fontId="1"/>
  </si>
  <si>
    <t>小嶋</t>
    <phoneticPr fontId="1"/>
  </si>
  <si>
    <t>渡邉</t>
    <phoneticPr fontId="1"/>
  </si>
  <si>
    <t>名前／時間</t>
    <rPh sb="0" eb="2">
      <t>ナマ</t>
    </rPh>
    <rPh sb="3" eb="5">
      <t>ジカn</t>
    </rPh>
    <phoneticPr fontId="1"/>
  </si>
  <si>
    <t>日付</t>
    <phoneticPr fontId="1"/>
  </si>
  <si>
    <t>函館市赤川町</t>
  </si>
  <si>
    <t>〒041-0804</t>
  </si>
  <si>
    <t>7歳</t>
  </si>
  <si>
    <t>吉幾三</t>
  </si>
  <si>
    <t>函館市赤川町168-40</t>
  </si>
  <si>
    <t>〒078-8326</t>
  </si>
  <si>
    <t>postal</t>
  </si>
  <si>
    <t>園児ふ</t>
  </si>
  <si>
    <t>園児C</t>
  </si>
  <si>
    <t>園児G</t>
  </si>
  <si>
    <t>園児D</t>
  </si>
  <si>
    <t>園児E</t>
  </si>
  <si>
    <t>6歳</t>
  </si>
  <si>
    <t>園児F</t>
  </si>
  <si>
    <t>園児I</t>
  </si>
  <si>
    <t>園児M</t>
  </si>
  <si>
    <t>園児R</t>
  </si>
  <si>
    <t>園児H</t>
  </si>
  <si>
    <t>住所</t>
    <rPh sb="0" eb="2">
      <t>ジュウショ</t>
    </rPh>
    <phoneticPr fontId="1"/>
  </si>
  <si>
    <t>郵便番号</t>
    <rPh sb="0" eb="4">
      <t>ユウビンバンゴウ</t>
    </rPh>
    <phoneticPr fontId="1"/>
  </si>
  <si>
    <t>ひよこ</t>
    <phoneticPr fontId="1"/>
  </si>
  <si>
    <t>うさぎ</t>
    <phoneticPr fontId="1"/>
  </si>
  <si>
    <t>うさぎ</t>
    <phoneticPr fontId="1"/>
  </si>
  <si>
    <t>かば</t>
    <phoneticPr fontId="1"/>
  </si>
  <si>
    <t>かば</t>
    <phoneticPr fontId="1"/>
  </si>
  <si>
    <t>ぞう</t>
    <phoneticPr fontId="1"/>
  </si>
  <si>
    <t>〒831-3822</t>
  </si>
  <si>
    <t>つくしの子</t>
  </si>
  <si>
    <t>〒078-8326</t>
    <phoneticPr fontId="1"/>
  </si>
  <si>
    <t>園児K</t>
  </si>
  <si>
    <t>伊藤</t>
    <phoneticPr fontId="1"/>
  </si>
  <si>
    <t>向井</t>
    <phoneticPr fontId="1"/>
  </si>
  <si>
    <t>高橋</t>
    <phoneticPr fontId="1"/>
  </si>
  <si>
    <t>神</t>
    <phoneticPr fontId="1"/>
  </si>
  <si>
    <t>大西</t>
    <phoneticPr fontId="1"/>
  </si>
  <si>
    <t>斉藤</t>
    <phoneticPr fontId="1"/>
  </si>
  <si>
    <t>佐藤</t>
    <phoneticPr fontId="1"/>
  </si>
  <si>
    <t>三好</t>
    <phoneticPr fontId="1"/>
  </si>
  <si>
    <t>田中</t>
    <phoneticPr fontId="1"/>
  </si>
  <si>
    <t>山田</t>
    <phoneticPr fontId="1"/>
  </si>
  <si>
    <t>斉藤</t>
    <phoneticPr fontId="1"/>
  </si>
  <si>
    <t>田中</t>
    <phoneticPr fontId="1"/>
  </si>
  <si>
    <t>向井</t>
    <phoneticPr fontId="1"/>
  </si>
  <si>
    <t>大西</t>
    <phoneticPr fontId="1"/>
  </si>
  <si>
    <t>小嶋</t>
    <phoneticPr fontId="1"/>
  </si>
  <si>
    <t>渡邉</t>
    <phoneticPr fontId="1"/>
  </si>
  <si>
    <t>黒瀬</t>
    <phoneticPr fontId="1"/>
  </si>
  <si>
    <t>神</t>
    <phoneticPr fontId="1"/>
  </si>
  <si>
    <t>山田</t>
    <phoneticPr fontId="1"/>
  </si>
  <si>
    <t>鈴木</t>
    <phoneticPr fontId="1"/>
  </si>
  <si>
    <t>高橋</t>
    <phoneticPr fontId="1"/>
  </si>
  <si>
    <t>三好</t>
    <phoneticPr fontId="1"/>
  </si>
  <si>
    <t>伊藤</t>
    <phoneticPr fontId="1"/>
  </si>
  <si>
    <t>大谷</t>
    <phoneticPr fontId="1"/>
  </si>
  <si>
    <t>佐藤</t>
    <phoneticPr fontId="1"/>
  </si>
  <si>
    <t>小嶋</t>
    <phoneticPr fontId="1"/>
  </si>
  <si>
    <t>黒瀬</t>
    <phoneticPr fontId="1"/>
  </si>
  <si>
    <t>斉藤</t>
    <phoneticPr fontId="1"/>
  </si>
  <si>
    <t>田中</t>
    <phoneticPr fontId="1"/>
  </si>
  <si>
    <t>向井</t>
    <phoneticPr fontId="1"/>
  </si>
  <si>
    <t>三好</t>
    <phoneticPr fontId="1"/>
  </si>
  <si>
    <t>黒瀬</t>
    <phoneticPr fontId="1"/>
  </si>
  <si>
    <t>大谷</t>
    <phoneticPr fontId="1"/>
  </si>
  <si>
    <t>神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</si>
</sst>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76" formatCode="yyyy&quot;年&quot;m&quot;月&quot;d&quot;日&quot;;@"/>
    <numFmt numFmtId="177" formatCode="m&quot;月&quot;"/>
    <numFmt numFmtId="178" formatCode="h:mm;@"/>
    <numFmt numFmtId="179" formatCode="m&quot;月&quot;d&quot;日&quot;;@"/>
    <numFmt numFmtId="180" formatCode="d\(aaa\)"/>
    <numFmt numFmtId="181" formatCode="d\_x000a_aaa"/>
    <numFmt numFmtId="182" formatCode="m/d\(aaa\)"/>
    <numFmt numFmtId="183" formatCode="[DBNum3][$-411]0"/>
    <numFmt numFmtId="184" formatCode=";;h:mm"/>
    <numFmt numFmtId="185" formatCode="h&quot;時&quot;"/>
  </numFmts>
  <fonts count="22">
    <font>
      <sz val="11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sz val="11"/>
      <color rgb="FFFF0000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36"/>
      <color theme="1"/>
      <name val="Yu Gothic"/>
      <family val="3"/>
      <charset val="128"/>
      <scheme val="minor"/>
    </font>
    <font>
      <sz val="10"/>
      <color rgb="FF000000"/>
      <name val="Arial"/>
      <family val="2"/>
    </font>
    <font>
      <sz val="11"/>
      <color theme="1"/>
      <name val="Yu Gothic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4"/>
      <color theme="1"/>
      <name val="Yu Gothic"/>
      <family val="2"/>
      <charset val="128"/>
      <scheme val="minor"/>
    </font>
    <font>
      <sz val="14"/>
      <color theme="1"/>
      <name val="Yu Gothic"/>
      <family val="3"/>
      <charset val="128"/>
      <scheme val="minor"/>
    </font>
    <font>
      <sz val="11"/>
      <name val="ＭＳ Ｐゴシック"/>
      <family val="3"/>
      <charset val="128"/>
    </font>
    <font>
      <sz val="8"/>
      <color theme="1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b/>
      <sz val="10"/>
      <color theme="1"/>
      <name val="Yu Gothic"/>
      <family val="3"/>
      <charset val="128"/>
      <scheme val="minor"/>
    </font>
    <font>
      <sz val="16"/>
      <color theme="1"/>
      <name val="HGP創英角ﾎﾟｯﾌﾟ体"/>
      <family val="3"/>
      <charset val="128"/>
    </font>
    <font>
      <b/>
      <sz val="16"/>
      <color theme="1"/>
      <name val="HGP創英角ﾎﾟｯﾌﾟ体"/>
      <family val="3"/>
      <charset val="128"/>
    </font>
    <font>
      <b/>
      <sz val="20"/>
      <color theme="1"/>
      <name val="HGPｺﾞｼｯｸE"/>
      <family val="3"/>
      <charset val="128"/>
    </font>
    <font>
      <sz val="20"/>
      <color theme="1"/>
      <name val="HGPｺﾞｼｯｸE"/>
      <family val="3"/>
      <charset val="128"/>
    </font>
    <font>
      <sz val="10"/>
      <color rgb="FF333333"/>
      <name val="メイリオ"/>
      <family val="3"/>
      <charset val="128"/>
    </font>
    <font>
      <sz val="8"/>
      <color theme="1"/>
      <name val="ＭＳ ゴシック"/>
      <family val="3"/>
      <charset val="128"/>
    </font>
    <font>
      <b/>
      <sz val="11"/>
      <color rgb="FF222222"/>
      <name val="Arial"/>
      <family val="2"/>
    </font>
    <font>
      <sz val="9"/>
      <color theme="1"/>
      <name val="Yu Gothic"/>
      <family val="2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59999389629810485"/>
        <bgColor indexed="64"/>
      </patternFill>
    </fill>
  </fills>
  <borders count="32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/>
      <right style="hair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double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</borders>
  <cellStyleXfs count="4">
    <xf numFmtId="0" fontId="0" fillId="0" borderId="0">
      <alignment vertical="center"/>
    </xf>
    <xf numFmtId="38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0" fillId="0" borderId="0"/>
  </cellStyleXfs>
  <cellXfs count="122">
    <xf numFmtId="0" fontId="0" fillId="0" borderId="0" xfId="0">
      <alignment vertical="center"/>
    </xf>
    <xf numFmtId="20" fontId="0" fillId="0" borderId="5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2" fillId="0" borderId="0" xfId="0" applyFont="1" applyFill="1" applyBorder="1">
      <alignment vertical="center"/>
    </xf>
    <xf numFmtId="0" fontId="2" fillId="0" borderId="0" xfId="0" applyFont="1" applyFill="1" applyBorder="1" applyAlignment="1">
      <alignment horizontal="center" vertical="center"/>
    </xf>
    <xf numFmtId="56" fontId="2" fillId="0" borderId="0" xfId="0" applyNumberFormat="1" applyFont="1" applyFill="1" applyBorder="1" applyAlignment="1">
      <alignment horizontal="center"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20" fontId="0" fillId="0" borderId="0" xfId="0" applyNumberFormat="1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5" xfId="0" applyFill="1" applyBorder="1">
      <alignment vertical="center"/>
    </xf>
    <xf numFmtId="0" fontId="0" fillId="0" borderId="0" xfId="0" applyFont="1" applyFill="1" applyBorder="1">
      <alignment vertical="center"/>
    </xf>
    <xf numFmtId="20" fontId="8" fillId="0" borderId="1" xfId="0" applyNumberFormat="1" applyFont="1" applyBorder="1" applyAlignment="1">
      <alignment horizontal="center" vertical="center"/>
    </xf>
    <xf numFmtId="20" fontId="9" fillId="0" borderId="1" xfId="0" applyNumberFormat="1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top"/>
    </xf>
    <xf numFmtId="0" fontId="8" fillId="0" borderId="1" xfId="0" applyFont="1" applyBorder="1" applyAlignment="1">
      <alignment horizontal="center" vertical="center"/>
    </xf>
    <xf numFmtId="176" fontId="9" fillId="0" borderId="1" xfId="0" applyNumberFormat="1" applyFont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176" fontId="9" fillId="2" borderId="4" xfId="0" applyNumberFormat="1" applyFont="1" applyFill="1" applyBorder="1" applyAlignment="1">
      <alignment horizontal="center" vertical="center"/>
    </xf>
    <xf numFmtId="0" fontId="8" fillId="0" borderId="1" xfId="2" applyNumberFormat="1" applyFont="1" applyBorder="1" applyAlignment="1">
      <alignment horizontal="center" vertical="top"/>
    </xf>
    <xf numFmtId="0" fontId="7" fillId="0" borderId="0" xfId="0" applyFont="1" applyBorder="1" applyAlignment="1"/>
    <xf numFmtId="0" fontId="7" fillId="0" borderId="0" xfId="0" applyFont="1" applyBorder="1" applyAlignment="1">
      <alignment horizontal="center" vertical="center"/>
    </xf>
    <xf numFmtId="38" fontId="0" fillId="0" borderId="0" xfId="0" applyNumberFormat="1" applyFont="1" applyBorder="1" applyAlignment="1">
      <alignment horizontal="center"/>
    </xf>
    <xf numFmtId="178" fontId="0" fillId="0" borderId="0" xfId="0" applyNumberFormat="1" applyBorder="1" applyAlignment="1">
      <alignment horizontal="center" vertical="center"/>
    </xf>
    <xf numFmtId="0" fontId="11" fillId="0" borderId="0" xfId="0" applyFont="1">
      <alignment vertical="center"/>
    </xf>
    <xf numFmtId="20" fontId="11" fillId="0" borderId="0" xfId="0" applyNumberFormat="1" applyFont="1">
      <alignment vertical="center"/>
    </xf>
    <xf numFmtId="20" fontId="11" fillId="0" borderId="0" xfId="0" applyNumberFormat="1" applyFont="1" applyBorder="1">
      <alignment vertical="center"/>
    </xf>
    <xf numFmtId="0" fontId="11" fillId="0" borderId="0" xfId="0" applyFont="1" applyBorder="1">
      <alignment vertical="center"/>
    </xf>
    <xf numFmtId="180" fontId="12" fillId="0" borderId="0" xfId="0" applyNumberFormat="1" applyFont="1" applyAlignment="1">
      <alignment horizontal="center" vertical="center"/>
    </xf>
    <xf numFmtId="181" fontId="12" fillId="0" borderId="0" xfId="0" applyNumberFormat="1" applyFont="1" applyAlignment="1">
      <alignment horizontal="center" vertical="center" wrapText="1"/>
    </xf>
    <xf numFmtId="181" fontId="13" fillId="0" borderId="0" xfId="0" applyNumberFormat="1" applyFont="1" applyAlignment="1">
      <alignment horizontal="center" vertical="center" wrapText="1"/>
    </xf>
    <xf numFmtId="182" fontId="0" fillId="0" borderId="0" xfId="0" applyNumberFormat="1">
      <alignment vertical="center"/>
    </xf>
    <xf numFmtId="182" fontId="14" fillId="0" borderId="0" xfId="0" applyNumberFormat="1" applyFont="1">
      <alignment vertical="center"/>
    </xf>
    <xf numFmtId="0" fontId="14" fillId="0" borderId="0" xfId="0" applyNumberFormat="1" applyFont="1" applyAlignment="1">
      <alignment horizontal="center" vertical="center"/>
    </xf>
    <xf numFmtId="0" fontId="15" fillId="0" borderId="0" xfId="0" applyNumberFormat="1" applyFont="1" applyAlignment="1">
      <alignment vertical="center"/>
    </xf>
    <xf numFmtId="182" fontId="15" fillId="0" borderId="0" xfId="0" applyNumberFormat="1" applyFont="1">
      <alignment vertical="center"/>
    </xf>
    <xf numFmtId="182" fontId="16" fillId="0" borderId="0" xfId="0" applyNumberFormat="1" applyFont="1">
      <alignment vertical="center"/>
    </xf>
    <xf numFmtId="0" fontId="17" fillId="0" borderId="0" xfId="0" applyFont="1" applyAlignment="1">
      <alignment vertical="center"/>
    </xf>
    <xf numFmtId="56" fontId="0" fillId="0" borderId="0" xfId="0" applyNumberFormat="1">
      <alignment vertical="center"/>
    </xf>
    <xf numFmtId="14" fontId="0" fillId="0" borderId="0" xfId="0" applyNumberFormat="1">
      <alignment vertical="center"/>
    </xf>
    <xf numFmtId="17" fontId="0" fillId="0" borderId="0" xfId="0" applyNumberFormat="1">
      <alignment vertical="center"/>
    </xf>
    <xf numFmtId="31" fontId="18" fillId="0" borderId="0" xfId="0" applyNumberFormat="1" applyFont="1">
      <alignment vertical="center"/>
    </xf>
    <xf numFmtId="176" fontId="18" fillId="0" borderId="0" xfId="0" applyNumberFormat="1" applyFont="1">
      <alignment vertical="center"/>
    </xf>
    <xf numFmtId="181" fontId="13" fillId="0" borderId="0" xfId="0" applyNumberFormat="1" applyFont="1" applyBorder="1" applyAlignment="1" applyProtection="1">
      <alignment horizontal="center" vertical="center" wrapText="1" shrinkToFit="1"/>
    </xf>
    <xf numFmtId="181" fontId="13" fillId="0" borderId="0" xfId="0" applyNumberFormat="1" applyFont="1" applyBorder="1" applyAlignment="1" applyProtection="1">
      <alignment horizontal="center" vertical="center" wrapText="1"/>
    </xf>
    <xf numFmtId="179" fontId="19" fillId="0" borderId="0" xfId="0" applyNumberFormat="1" applyFont="1" applyBorder="1" applyAlignment="1">
      <alignment horizontal="center" vertical="center"/>
    </xf>
    <xf numFmtId="20" fontId="0" fillId="0" borderId="0" xfId="0" applyNumberFormat="1">
      <alignment vertical="center"/>
    </xf>
    <xf numFmtId="0" fontId="9" fillId="0" borderId="1" xfId="2" applyNumberFormat="1" applyFont="1" applyBorder="1" applyAlignment="1">
      <alignment horizontal="center" vertical="top"/>
    </xf>
    <xf numFmtId="0" fontId="9" fillId="0" borderId="1" xfId="0" applyFont="1" applyFill="1" applyBorder="1" applyAlignment="1">
      <alignment horizontal="center" vertical="center"/>
    </xf>
    <xf numFmtId="20" fontId="9" fillId="0" borderId="1" xfId="0" applyNumberFormat="1" applyFont="1" applyFill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176" fontId="9" fillId="0" borderId="1" xfId="0" applyNumberFormat="1" applyFont="1" applyFill="1" applyBorder="1" applyAlignment="1">
      <alignment horizontal="center" vertical="center"/>
    </xf>
    <xf numFmtId="0" fontId="20" fillId="0" borderId="0" xfId="0" applyFo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38" fontId="21" fillId="0" borderId="0" xfId="0" applyNumberFormat="1" applyFont="1" applyBorder="1" applyAlignment="1">
      <alignment horizontal="center" vertical="center"/>
    </xf>
    <xf numFmtId="0" fontId="21" fillId="0" borderId="0" xfId="0" applyFont="1" applyBorder="1" applyAlignment="1">
      <alignment vertical="center"/>
    </xf>
    <xf numFmtId="38" fontId="21" fillId="0" borderId="0" xfId="0" applyNumberFormat="1" applyFont="1" applyBorder="1" applyAlignment="1">
      <alignment vertical="center"/>
    </xf>
    <xf numFmtId="0" fontId="21" fillId="0" borderId="0" xfId="0" applyFont="1" applyBorder="1" applyAlignment="1"/>
    <xf numFmtId="38" fontId="21" fillId="0" borderId="0" xfId="0" applyNumberFormat="1" applyFont="1" applyBorder="1" applyAlignment="1"/>
    <xf numFmtId="0" fontId="8" fillId="0" borderId="0" xfId="0" applyFont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0" fillId="0" borderId="1" xfId="0" applyBorder="1">
      <alignment vertical="center"/>
    </xf>
    <xf numFmtId="0" fontId="8" fillId="0" borderId="6" xfId="0" applyFont="1" applyBorder="1" applyAlignment="1">
      <alignment horizontal="center" vertical="center"/>
    </xf>
    <xf numFmtId="176" fontId="9" fillId="0" borderId="6" xfId="0" applyNumberFormat="1" applyFont="1" applyBorder="1" applyAlignment="1">
      <alignment horizontal="center" vertical="center"/>
    </xf>
    <xf numFmtId="0" fontId="9" fillId="0" borderId="6" xfId="2" applyNumberFormat="1" applyFont="1" applyBorder="1" applyAlignment="1">
      <alignment horizontal="center" vertical="top"/>
    </xf>
    <xf numFmtId="0" fontId="0" fillId="0" borderId="0" xfId="0" applyFill="1">
      <alignment vertical="center"/>
    </xf>
    <xf numFmtId="0" fontId="0" fillId="0" borderId="0" xfId="0" applyAlignment="1">
      <alignment vertical="center"/>
    </xf>
    <xf numFmtId="184" fontId="0" fillId="3" borderId="9" xfId="0" applyNumberFormat="1" applyFont="1" applyFill="1" applyBorder="1" applyProtection="1">
      <alignment vertical="center"/>
      <protection locked="0" hidden="1"/>
    </xf>
    <xf numFmtId="184" fontId="0" fillId="3" borderId="10" xfId="0" applyNumberFormat="1" applyFont="1" applyFill="1" applyBorder="1" applyProtection="1">
      <alignment vertical="center"/>
      <protection locked="0" hidden="1"/>
    </xf>
    <xf numFmtId="184" fontId="0" fillId="4" borderId="10" xfId="0" applyNumberFormat="1" applyFont="1" applyFill="1" applyBorder="1" applyProtection="1">
      <alignment vertical="center"/>
      <protection locked="0" hidden="1"/>
    </xf>
    <xf numFmtId="184" fontId="0" fillId="4" borderId="11" xfId="0" applyNumberFormat="1" applyFont="1" applyFill="1" applyBorder="1" applyProtection="1">
      <alignment vertical="center"/>
      <protection locked="0" hidden="1"/>
    </xf>
    <xf numFmtId="184" fontId="0" fillId="4" borderId="15" xfId="0" applyNumberFormat="1" applyFont="1" applyFill="1" applyBorder="1" applyProtection="1">
      <alignment vertical="center"/>
      <protection locked="0" hidden="1"/>
    </xf>
    <xf numFmtId="184" fontId="0" fillId="4" borderId="16" xfId="0" applyNumberFormat="1" applyFont="1" applyFill="1" applyBorder="1" applyProtection="1">
      <alignment vertical="center"/>
      <protection locked="0" hidden="1"/>
    </xf>
    <xf numFmtId="184" fontId="0" fillId="3" borderId="16" xfId="0" applyNumberFormat="1" applyFont="1" applyFill="1" applyBorder="1" applyProtection="1">
      <alignment vertical="center"/>
      <protection locked="0" hidden="1"/>
    </xf>
    <xf numFmtId="184" fontId="0" fillId="4" borderId="17" xfId="0" applyNumberFormat="1" applyFont="1" applyFill="1" applyBorder="1" applyProtection="1">
      <alignment vertical="center"/>
      <protection locked="0" hidden="1"/>
    </xf>
    <xf numFmtId="184" fontId="0" fillId="4" borderId="19" xfId="0" applyNumberFormat="1" applyFont="1" applyFill="1" applyBorder="1" applyProtection="1">
      <alignment vertical="center"/>
      <protection locked="0" hidden="1"/>
    </xf>
    <xf numFmtId="184" fontId="0" fillId="4" borderId="20" xfId="0" applyNumberFormat="1" applyFont="1" applyFill="1" applyBorder="1" applyProtection="1">
      <alignment vertical="center"/>
      <protection locked="0" hidden="1"/>
    </xf>
    <xf numFmtId="184" fontId="0" fillId="3" borderId="20" xfId="0" applyNumberFormat="1" applyFont="1" applyFill="1" applyBorder="1" applyProtection="1">
      <alignment vertical="center"/>
      <protection locked="0" hidden="1"/>
    </xf>
    <xf numFmtId="184" fontId="0" fillId="3" borderId="21" xfId="0" applyNumberFormat="1" applyFont="1" applyFill="1" applyBorder="1" applyProtection="1">
      <alignment vertical="center"/>
      <protection locked="0" hidden="1"/>
    </xf>
    <xf numFmtId="0" fontId="0" fillId="0" borderId="0" xfId="0" applyProtection="1">
      <alignment vertical="center"/>
    </xf>
    <xf numFmtId="0" fontId="15" fillId="0" borderId="31" xfId="0" applyNumberFormat="1" applyFont="1" applyBorder="1" applyAlignment="1">
      <alignment vertical="center"/>
    </xf>
    <xf numFmtId="183" fontId="15" fillId="0" borderId="31" xfId="0" applyNumberFormat="1" applyFont="1" applyBorder="1" applyAlignment="1">
      <alignment vertical="center"/>
    </xf>
    <xf numFmtId="0" fontId="0" fillId="0" borderId="0" xfId="0" applyFill="1" applyBorder="1">
      <alignment vertical="center"/>
    </xf>
    <xf numFmtId="14" fontId="0" fillId="0" borderId="0" xfId="0" applyNumberFormat="1" applyFill="1" applyBorder="1">
      <alignment vertical="center"/>
    </xf>
    <xf numFmtId="0" fontId="0" fillId="5" borderId="3" xfId="0" applyFill="1" applyBorder="1">
      <alignment vertical="center"/>
    </xf>
    <xf numFmtId="0" fontId="0" fillId="0" borderId="6" xfId="0" applyBorder="1">
      <alignment vertical="center"/>
    </xf>
    <xf numFmtId="38" fontId="6" fillId="0" borderId="0" xfId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77" fontId="4" fillId="0" borderId="0" xfId="0" applyNumberFormat="1" applyFont="1" applyAlignment="1">
      <alignment horizontal="center" vertical="center"/>
    </xf>
    <xf numFmtId="20" fontId="21" fillId="0" borderId="0" xfId="0" applyNumberFormat="1" applyFont="1" applyBorder="1" applyAlignment="1">
      <alignment horizontal="center" vertical="center"/>
    </xf>
    <xf numFmtId="0" fontId="21" fillId="0" borderId="0" xfId="0" applyNumberFormat="1" applyFont="1" applyBorder="1" applyAlignment="1">
      <alignment horizontal="center" vertical="center"/>
    </xf>
    <xf numFmtId="183" fontId="15" fillId="0" borderId="0" xfId="0" applyNumberFormat="1" applyFont="1" applyAlignment="1">
      <alignment horizontal="center" vertical="center"/>
    </xf>
    <xf numFmtId="0" fontId="15" fillId="0" borderId="0" xfId="0" applyNumberFormat="1" applyFont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181" fontId="13" fillId="0" borderId="3" xfId="0" applyNumberFormat="1" applyFont="1" applyBorder="1" applyAlignment="1" applyProtection="1">
      <alignment horizontal="center" vertical="center" wrapText="1"/>
      <protection hidden="1"/>
    </xf>
    <xf numFmtId="185" fontId="0" fillId="0" borderId="27" xfId="0" applyNumberFormat="1" applyBorder="1" applyAlignment="1">
      <alignment horizontal="center" vertical="center"/>
    </xf>
    <xf numFmtId="185" fontId="0" fillId="0" borderId="26" xfId="0" applyNumberFormat="1" applyBorder="1" applyAlignment="1">
      <alignment horizontal="center" vertical="center"/>
    </xf>
    <xf numFmtId="0" fontId="12" fillId="0" borderId="3" xfId="0" applyFont="1" applyBorder="1" applyAlignment="1" applyProtection="1">
      <alignment horizontal="center" vertical="center"/>
    </xf>
    <xf numFmtId="0" fontId="12" fillId="0" borderId="30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181" fontId="13" fillId="0" borderId="3" xfId="0" applyNumberFormat="1" applyFont="1" applyBorder="1" applyAlignment="1" applyProtection="1">
      <alignment horizontal="center" vertical="center" wrapText="1" shrinkToFit="1"/>
      <protection hidden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185" fontId="0" fillId="0" borderId="25" xfId="0" applyNumberForma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</cellXfs>
  <cellStyles count="4">
    <cellStyle name="パーセント" xfId="2" builtinId="5"/>
    <cellStyle name="桁区切り" xfId="1" builtinId="6"/>
    <cellStyle name="標準" xfId="0" builtinId="0"/>
    <cellStyle name="標準 2" xfId="3"/>
  </cellStyles>
  <dxfs count="16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188818</xdr:colOff>
      <xdr:row>0</xdr:row>
      <xdr:rowOff>87406</xdr:rowOff>
    </xdr:from>
    <xdr:to>
      <xdr:col>2</xdr:col>
      <xdr:colOff>694764</xdr:colOff>
      <xdr:row>2</xdr:row>
      <xdr:rowOff>68356</xdr:rowOff>
    </xdr:to>
    <xdr:sp macro="[0]!保育園児編集.保育園児編集" textlink="">
      <xdr:nvSpPr>
        <xdr:cNvPr id="2" name="角丸四角形 1"/>
        <xdr:cNvSpPr/>
      </xdr:nvSpPr>
      <xdr:spPr>
        <a:xfrm>
          <a:off x="2317936" y="87406"/>
          <a:ext cx="1301563" cy="451597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300" baseline="0"/>
            <a:t>編集</a:t>
          </a:r>
        </a:p>
      </xdr:txBody>
    </xdr:sp>
    <xdr:clientData/>
  </xdr:twoCellAnchor>
  <xdr:twoCellAnchor>
    <xdr:from>
      <xdr:col>3</xdr:col>
      <xdr:colOff>221317</xdr:colOff>
      <xdr:row>0</xdr:row>
      <xdr:rowOff>95250</xdr:rowOff>
    </xdr:from>
    <xdr:to>
      <xdr:col>3</xdr:col>
      <xdr:colOff>1507753</xdr:colOff>
      <xdr:row>2</xdr:row>
      <xdr:rowOff>76200</xdr:rowOff>
    </xdr:to>
    <xdr:sp macro="[0]!保育園児削除.保育園児削除" textlink="">
      <xdr:nvSpPr>
        <xdr:cNvPr id="3" name="角丸四角形 2"/>
        <xdr:cNvSpPr/>
      </xdr:nvSpPr>
      <xdr:spPr>
        <a:xfrm>
          <a:off x="3997699" y="95250"/>
          <a:ext cx="1286436" cy="451597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300"/>
            <a:t>削除</a:t>
          </a:r>
        </a:p>
      </xdr:txBody>
    </xdr:sp>
    <xdr:clientData/>
  </xdr:twoCellAnchor>
  <xdr:twoCellAnchor>
    <xdr:from>
      <xdr:col>0</xdr:col>
      <xdr:colOff>631452</xdr:colOff>
      <xdr:row>0</xdr:row>
      <xdr:rowOff>89647</xdr:rowOff>
    </xdr:from>
    <xdr:to>
      <xdr:col>0</xdr:col>
      <xdr:colOff>1983442</xdr:colOff>
      <xdr:row>2</xdr:row>
      <xdr:rowOff>66674</xdr:rowOff>
    </xdr:to>
    <xdr:sp macro="[0]!保育園児登録.保育園児登録" textlink="">
      <xdr:nvSpPr>
        <xdr:cNvPr id="4" name="角丸四角形 3"/>
        <xdr:cNvSpPr/>
      </xdr:nvSpPr>
      <xdr:spPr>
        <a:xfrm>
          <a:off x="631452" y="89647"/>
          <a:ext cx="1351990" cy="447674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300"/>
            <a:t>登録</a:t>
          </a:r>
        </a:p>
      </xdr:txBody>
    </xdr:sp>
    <xdr:clientData/>
  </xdr:twoCellAnchor>
  <xdr:twoCellAnchor>
    <xdr:from>
      <xdr:col>6</xdr:col>
      <xdr:colOff>537882</xdr:colOff>
      <xdr:row>0</xdr:row>
      <xdr:rowOff>112060</xdr:rowOff>
    </xdr:from>
    <xdr:to>
      <xdr:col>7</xdr:col>
      <xdr:colOff>289112</xdr:colOff>
      <xdr:row>2</xdr:row>
      <xdr:rowOff>93010</xdr:rowOff>
    </xdr:to>
    <xdr:sp macro="[0]!卒園2.卒園2" textlink="">
      <xdr:nvSpPr>
        <xdr:cNvPr id="5" name="角丸四角形 4"/>
        <xdr:cNvSpPr/>
      </xdr:nvSpPr>
      <xdr:spPr>
        <a:xfrm>
          <a:off x="4595532" y="112060"/>
          <a:ext cx="427505" cy="4572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300"/>
            <a:t>卒園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771525</xdr:colOff>
      <xdr:row>0</xdr:row>
      <xdr:rowOff>95250</xdr:rowOff>
    </xdr:from>
    <xdr:to>
      <xdr:col>2</xdr:col>
      <xdr:colOff>485775</xdr:colOff>
      <xdr:row>2</xdr:row>
      <xdr:rowOff>76200</xdr:rowOff>
    </xdr:to>
    <xdr:sp macro="[0]!保育士編集.保育士編集" textlink="">
      <xdr:nvSpPr>
        <xdr:cNvPr id="2" name="角丸四角形 1"/>
        <xdr:cNvSpPr/>
      </xdr:nvSpPr>
      <xdr:spPr>
        <a:xfrm>
          <a:off x="1733550" y="95250"/>
          <a:ext cx="105727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lvl="0" algn="ctr"/>
          <a:r>
            <a:rPr kumimoji="1" lang="ja-JP" altLang="en-US" sz="1400"/>
            <a:t>編集</a:t>
          </a:r>
        </a:p>
      </xdr:txBody>
    </xdr:sp>
    <xdr:clientData/>
  </xdr:twoCellAnchor>
  <xdr:twoCellAnchor>
    <xdr:from>
      <xdr:col>0</xdr:col>
      <xdr:colOff>361950</xdr:colOff>
      <xdr:row>0</xdr:row>
      <xdr:rowOff>85725</xdr:rowOff>
    </xdr:from>
    <xdr:to>
      <xdr:col>1</xdr:col>
      <xdr:colOff>466725</xdr:colOff>
      <xdr:row>2</xdr:row>
      <xdr:rowOff>66675</xdr:rowOff>
    </xdr:to>
    <xdr:sp macro="[0]!保育士登録.保育士登録" textlink="">
      <xdr:nvSpPr>
        <xdr:cNvPr id="5" name="角丸四角形 4"/>
        <xdr:cNvSpPr/>
      </xdr:nvSpPr>
      <xdr:spPr>
        <a:xfrm>
          <a:off x="361950" y="85725"/>
          <a:ext cx="1066800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lvl="0" algn="ctr"/>
          <a:r>
            <a:rPr kumimoji="1" lang="ja-JP" altLang="en-US" sz="1400"/>
            <a:t>登録</a:t>
          </a:r>
        </a:p>
      </xdr:txBody>
    </xdr:sp>
    <xdr:clientData/>
  </xdr:twoCellAnchor>
  <xdr:twoCellAnchor>
    <xdr:from>
      <xdr:col>2</xdr:col>
      <xdr:colOff>742950</xdr:colOff>
      <xdr:row>0</xdr:row>
      <xdr:rowOff>104775</xdr:rowOff>
    </xdr:from>
    <xdr:to>
      <xdr:col>3</xdr:col>
      <xdr:colOff>561975</xdr:colOff>
      <xdr:row>2</xdr:row>
      <xdr:rowOff>95250</xdr:rowOff>
    </xdr:to>
    <xdr:sp macro="[0]!保育士削除.保育士削除" textlink="">
      <xdr:nvSpPr>
        <xdr:cNvPr id="3" name="角丸四角形 2"/>
        <xdr:cNvSpPr/>
      </xdr:nvSpPr>
      <xdr:spPr>
        <a:xfrm>
          <a:off x="3048000" y="104775"/>
          <a:ext cx="1114425" cy="333375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400"/>
            <a:t>削除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</xdr:rowOff>
        </xdr:from>
        <xdr:to>
          <xdr:col>0</xdr:col>
          <xdr:colOff>561975</xdr:colOff>
          <xdr:row>3</xdr:row>
          <xdr:rowOff>0</xdr:rowOff>
        </xdr:to>
        <xdr:sp macro="" textlink="">
          <xdr:nvSpPr>
            <xdr:cNvPr id="3119" name="CommandButton1" hidden="1">
              <a:extLst>
                <a:ext uri="{63B3BB69-23CF-44E3-9099-C40C66FF867C}">
                  <a14:compatExt spid="_x0000_s3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</xdr:row>
          <xdr:rowOff>133350</xdr:rowOff>
        </xdr:from>
        <xdr:to>
          <xdr:col>0</xdr:col>
          <xdr:colOff>352425</xdr:colOff>
          <xdr:row>3</xdr:row>
          <xdr:rowOff>257175</xdr:rowOff>
        </xdr:to>
        <xdr:sp macro="" textlink="">
          <xdr:nvSpPr>
            <xdr:cNvPr id="3122" name="CheckBox1" hidden="1">
              <a:extLst>
                <a:ext uri="{63B3BB69-23CF-44E3-9099-C40C66FF867C}">
                  <a14:compatExt spid="_x0000_s3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4</xdr:row>
          <xdr:rowOff>133350</xdr:rowOff>
        </xdr:from>
        <xdr:to>
          <xdr:col>0</xdr:col>
          <xdr:colOff>352425</xdr:colOff>
          <xdr:row>4</xdr:row>
          <xdr:rowOff>257175</xdr:rowOff>
        </xdr:to>
        <xdr:sp macro="" textlink="">
          <xdr:nvSpPr>
            <xdr:cNvPr id="3124" name="CheckBox2" hidden="1">
              <a:extLst>
                <a:ext uri="{63B3BB69-23CF-44E3-9099-C40C66FF867C}">
                  <a14:compatExt spid="_x0000_s3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5</xdr:row>
          <xdr:rowOff>133350</xdr:rowOff>
        </xdr:from>
        <xdr:to>
          <xdr:col>0</xdr:col>
          <xdr:colOff>352425</xdr:colOff>
          <xdr:row>5</xdr:row>
          <xdr:rowOff>257175</xdr:rowOff>
        </xdr:to>
        <xdr:sp macro="" textlink="">
          <xdr:nvSpPr>
            <xdr:cNvPr id="3125" name="CheckBox3" hidden="1">
              <a:extLst>
                <a:ext uri="{63B3BB69-23CF-44E3-9099-C40C66FF867C}">
                  <a14:compatExt spid="_x0000_s3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6</xdr:row>
          <xdr:rowOff>133350</xdr:rowOff>
        </xdr:from>
        <xdr:to>
          <xdr:col>0</xdr:col>
          <xdr:colOff>352425</xdr:colOff>
          <xdr:row>6</xdr:row>
          <xdr:rowOff>257175</xdr:rowOff>
        </xdr:to>
        <xdr:sp macro="" textlink="">
          <xdr:nvSpPr>
            <xdr:cNvPr id="3126" name="CheckBox4" hidden="1">
              <a:extLst>
                <a:ext uri="{63B3BB69-23CF-44E3-9099-C40C66FF867C}">
                  <a14:compatExt spid="_x0000_s3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7</xdr:row>
          <xdr:rowOff>133350</xdr:rowOff>
        </xdr:from>
        <xdr:to>
          <xdr:col>0</xdr:col>
          <xdr:colOff>352425</xdr:colOff>
          <xdr:row>7</xdr:row>
          <xdr:rowOff>257175</xdr:rowOff>
        </xdr:to>
        <xdr:sp macro="" textlink="">
          <xdr:nvSpPr>
            <xdr:cNvPr id="3127" name="CheckBox5" hidden="1">
              <a:extLst>
                <a:ext uri="{63B3BB69-23CF-44E3-9099-C40C66FF867C}">
                  <a14:compatExt spid="_x0000_s3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8</xdr:row>
          <xdr:rowOff>133350</xdr:rowOff>
        </xdr:from>
        <xdr:to>
          <xdr:col>0</xdr:col>
          <xdr:colOff>352425</xdr:colOff>
          <xdr:row>8</xdr:row>
          <xdr:rowOff>257175</xdr:rowOff>
        </xdr:to>
        <xdr:sp macro="" textlink="">
          <xdr:nvSpPr>
            <xdr:cNvPr id="3128" name="CheckBox6" hidden="1">
              <a:extLst>
                <a:ext uri="{63B3BB69-23CF-44E3-9099-C40C66FF867C}">
                  <a14:compatExt spid="_x0000_s3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9</xdr:row>
          <xdr:rowOff>133350</xdr:rowOff>
        </xdr:from>
        <xdr:to>
          <xdr:col>0</xdr:col>
          <xdr:colOff>352425</xdr:colOff>
          <xdr:row>9</xdr:row>
          <xdr:rowOff>257175</xdr:rowOff>
        </xdr:to>
        <xdr:sp macro="" textlink="">
          <xdr:nvSpPr>
            <xdr:cNvPr id="3129" name="CheckBox7" hidden="1">
              <a:extLst>
                <a:ext uri="{63B3BB69-23CF-44E3-9099-C40C66FF867C}">
                  <a14:compatExt spid="_x0000_s3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10</xdr:row>
          <xdr:rowOff>133350</xdr:rowOff>
        </xdr:from>
        <xdr:to>
          <xdr:col>0</xdr:col>
          <xdr:colOff>352425</xdr:colOff>
          <xdr:row>10</xdr:row>
          <xdr:rowOff>257175</xdr:rowOff>
        </xdr:to>
        <xdr:sp macro="" textlink="">
          <xdr:nvSpPr>
            <xdr:cNvPr id="3130" name="CheckBox8" hidden="1">
              <a:extLst>
                <a:ext uri="{63B3BB69-23CF-44E3-9099-C40C66FF867C}">
                  <a14:compatExt spid="_x0000_s3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11</xdr:row>
          <xdr:rowOff>133350</xdr:rowOff>
        </xdr:from>
        <xdr:to>
          <xdr:col>0</xdr:col>
          <xdr:colOff>352425</xdr:colOff>
          <xdr:row>11</xdr:row>
          <xdr:rowOff>257175</xdr:rowOff>
        </xdr:to>
        <xdr:sp macro="" textlink="">
          <xdr:nvSpPr>
            <xdr:cNvPr id="3131" name="CheckBox9" hidden="1">
              <a:extLst>
                <a:ext uri="{63B3BB69-23CF-44E3-9099-C40C66FF867C}">
                  <a14:compatExt spid="_x0000_s3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12</xdr:row>
          <xdr:rowOff>133350</xdr:rowOff>
        </xdr:from>
        <xdr:to>
          <xdr:col>0</xdr:col>
          <xdr:colOff>352425</xdr:colOff>
          <xdr:row>12</xdr:row>
          <xdr:rowOff>257175</xdr:rowOff>
        </xdr:to>
        <xdr:sp macro="" textlink="">
          <xdr:nvSpPr>
            <xdr:cNvPr id="3132" name="CheckBox10" hidden="1">
              <a:extLst>
                <a:ext uri="{63B3BB69-23CF-44E3-9099-C40C66FF867C}">
                  <a14:compatExt spid="_x0000_s3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13</xdr:row>
          <xdr:rowOff>133350</xdr:rowOff>
        </xdr:from>
        <xdr:to>
          <xdr:col>0</xdr:col>
          <xdr:colOff>352425</xdr:colOff>
          <xdr:row>13</xdr:row>
          <xdr:rowOff>257175</xdr:rowOff>
        </xdr:to>
        <xdr:sp macro="" textlink="">
          <xdr:nvSpPr>
            <xdr:cNvPr id="3133" name="CheckBox11" hidden="1">
              <a:extLst>
                <a:ext uri="{63B3BB69-23CF-44E3-9099-C40C66FF867C}">
                  <a14:compatExt spid="_x0000_s3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14</xdr:row>
          <xdr:rowOff>133350</xdr:rowOff>
        </xdr:from>
        <xdr:to>
          <xdr:col>0</xdr:col>
          <xdr:colOff>352425</xdr:colOff>
          <xdr:row>14</xdr:row>
          <xdr:rowOff>257175</xdr:rowOff>
        </xdr:to>
        <xdr:sp macro="" textlink="">
          <xdr:nvSpPr>
            <xdr:cNvPr id="3134" name="CheckBox12" hidden="1">
              <a:extLst>
                <a:ext uri="{63B3BB69-23CF-44E3-9099-C40C66FF867C}">
                  <a14:compatExt spid="_x0000_s3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15</xdr:row>
          <xdr:rowOff>133350</xdr:rowOff>
        </xdr:from>
        <xdr:to>
          <xdr:col>0</xdr:col>
          <xdr:colOff>352425</xdr:colOff>
          <xdr:row>15</xdr:row>
          <xdr:rowOff>257175</xdr:rowOff>
        </xdr:to>
        <xdr:sp macro="" textlink="">
          <xdr:nvSpPr>
            <xdr:cNvPr id="3135" name="CheckBox13" hidden="1">
              <a:extLst>
                <a:ext uri="{63B3BB69-23CF-44E3-9099-C40C66FF867C}">
                  <a14:compatExt spid="_x0000_s3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16</xdr:row>
          <xdr:rowOff>133350</xdr:rowOff>
        </xdr:from>
        <xdr:to>
          <xdr:col>0</xdr:col>
          <xdr:colOff>352425</xdr:colOff>
          <xdr:row>16</xdr:row>
          <xdr:rowOff>257175</xdr:rowOff>
        </xdr:to>
        <xdr:sp macro="" textlink="">
          <xdr:nvSpPr>
            <xdr:cNvPr id="3136" name="CheckBox14" hidden="1">
              <a:extLst>
                <a:ext uri="{63B3BB69-23CF-44E3-9099-C40C66FF867C}">
                  <a14:compatExt spid="_x0000_s3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17</xdr:row>
          <xdr:rowOff>133350</xdr:rowOff>
        </xdr:from>
        <xdr:to>
          <xdr:col>0</xdr:col>
          <xdr:colOff>352425</xdr:colOff>
          <xdr:row>17</xdr:row>
          <xdr:rowOff>257175</xdr:rowOff>
        </xdr:to>
        <xdr:sp macro="" textlink="">
          <xdr:nvSpPr>
            <xdr:cNvPr id="3137" name="CheckBox15" hidden="1">
              <a:extLst>
                <a:ext uri="{63B3BB69-23CF-44E3-9099-C40C66FF867C}">
                  <a14:compatExt spid="_x0000_s3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b1014114\hoikuen\master3_4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b1014114\hoikuen\master3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園児情報"/>
      <sheetName val="卒園児情報"/>
      <sheetName val="保育士情報"/>
      <sheetName val="保育体制確認表"/>
      <sheetName val="勤務表"/>
      <sheetName val="Sheet5"/>
      <sheetName val="データ"/>
      <sheetName val="祝日データ"/>
      <sheetName val="ガントチャート"/>
      <sheetName val="コピペ登録"/>
    </sheetNames>
    <sheetDataSet>
      <sheetData sheetId="0"/>
      <sheetData sheetId="1"/>
      <sheetData sheetId="2">
        <row r="5">
          <cell r="AS5" t="str">
            <v>小嶋</v>
          </cell>
        </row>
        <row r="6">
          <cell r="AS6" t="str">
            <v>渡邉</v>
          </cell>
        </row>
        <row r="7">
          <cell r="AS7" t="str">
            <v>黒瀬</v>
          </cell>
        </row>
        <row r="8">
          <cell r="AS8" t="str">
            <v>大谷</v>
          </cell>
        </row>
        <row r="9">
          <cell r="AS9" t="str">
            <v>神</v>
          </cell>
        </row>
        <row r="10">
          <cell r="AS10" t="str">
            <v>佐藤</v>
          </cell>
        </row>
        <row r="11">
          <cell r="AS11" t="str">
            <v>山田</v>
          </cell>
        </row>
        <row r="12">
          <cell r="AS12" t="str">
            <v>鈴木</v>
          </cell>
        </row>
        <row r="13">
          <cell r="AS13" t="str">
            <v>高橋</v>
          </cell>
        </row>
        <row r="14">
          <cell r="AS14" t="str">
            <v>斉藤</v>
          </cell>
        </row>
        <row r="15">
          <cell r="AS15" t="str">
            <v>田中</v>
          </cell>
        </row>
        <row r="16">
          <cell r="AS16" t="str">
            <v>向井</v>
          </cell>
        </row>
        <row r="17">
          <cell r="AS17" t="str">
            <v>大西</v>
          </cell>
        </row>
        <row r="18">
          <cell r="AS18" t="str">
            <v>三好</v>
          </cell>
        </row>
        <row r="19">
          <cell r="AS19" t="str">
            <v>伊藤</v>
          </cell>
        </row>
        <row r="20">
          <cell r="AS20" t="e">
            <v>#REF!</v>
          </cell>
        </row>
        <row r="21">
          <cell r="AS21" t="str">
            <v/>
          </cell>
        </row>
      </sheetData>
      <sheetData sheetId="3"/>
      <sheetData sheetId="4">
        <row r="2">
          <cell r="L2">
            <v>2016</v>
          </cell>
        </row>
      </sheetData>
      <sheetData sheetId="5"/>
      <sheetData sheetId="6"/>
      <sheetData sheetId="7">
        <row r="1">
          <cell r="A1">
            <v>42370</v>
          </cell>
        </row>
      </sheetData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園児情報"/>
      <sheetName val="卒園児"/>
      <sheetName val="保育士情報"/>
      <sheetName val="保育体制確認表"/>
      <sheetName val="勤務表"/>
      <sheetName val="Sheet5"/>
      <sheetName val="データ"/>
      <sheetName val="祝日データ"/>
    </sheetNames>
    <sheetDataSet>
      <sheetData sheetId="0"/>
      <sheetData sheetId="1"/>
      <sheetData sheetId="2">
        <row r="5">
          <cell r="AS5" t="str">
            <v>小嶋</v>
          </cell>
        </row>
        <row r="6">
          <cell r="AS6" t="str">
            <v>渡邉</v>
          </cell>
        </row>
        <row r="7">
          <cell r="AS7" t="str">
            <v>黒瀬</v>
          </cell>
        </row>
        <row r="8">
          <cell r="AS8" t="str">
            <v>大谷</v>
          </cell>
        </row>
        <row r="9">
          <cell r="AS9" t="str">
            <v>神</v>
          </cell>
        </row>
        <row r="10">
          <cell r="AS10" t="str">
            <v>佐藤</v>
          </cell>
        </row>
        <row r="11">
          <cell r="AS11" t="str">
            <v>山田</v>
          </cell>
        </row>
        <row r="12">
          <cell r="AS12" t="str">
            <v>鈴木</v>
          </cell>
        </row>
        <row r="13">
          <cell r="AS13" t="str">
            <v>高橋</v>
          </cell>
        </row>
        <row r="14">
          <cell r="AS14" t="str">
            <v>斉藤</v>
          </cell>
        </row>
        <row r="15">
          <cell r="AS15" t="str">
            <v>田中</v>
          </cell>
        </row>
        <row r="16">
          <cell r="AS16" t="str">
            <v>向井</v>
          </cell>
        </row>
        <row r="17">
          <cell r="AS17" t="str">
            <v>大西</v>
          </cell>
        </row>
        <row r="18">
          <cell r="AS18" t="str">
            <v>三好</v>
          </cell>
        </row>
        <row r="19">
          <cell r="AS19" t="str">
            <v>伊藤</v>
          </cell>
        </row>
        <row r="20">
          <cell r="AS20" t="e">
            <v>#REF!</v>
          </cell>
        </row>
        <row r="21">
          <cell r="AS21" t="str">
            <v/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4:BW38"/>
  <sheetViews>
    <sheetView zoomScale="85" zoomScaleNormal="85" zoomScalePageLayoutView="85" workbookViewId="0">
      <selection activeCell="E2" sqref="E2"/>
    </sheetView>
  </sheetViews>
  <sheetFormatPr defaultColWidth="8.875" defaultRowHeight="18.75"/>
  <cols>
    <col min="1" max="1" width="28" customWidth="1"/>
    <col min="2" max="2" width="10.5" customWidth="1"/>
    <col min="3" max="3" width="11.125" customWidth="1"/>
    <col min="4" max="4" width="20.875" style="7" bestFit="1" customWidth="1"/>
    <col min="5" max="6" width="17.875" bestFit="1" customWidth="1"/>
    <col min="7" max="7" width="18.875" customWidth="1"/>
    <col min="8" max="8" width="48" customWidth="1"/>
  </cols>
  <sheetData>
    <row r="4" spans="1:75" ht="24">
      <c r="A4" s="18" t="s">
        <v>0</v>
      </c>
      <c r="B4" s="19" t="s">
        <v>2</v>
      </c>
      <c r="C4" s="19" t="s">
        <v>3</v>
      </c>
      <c r="D4" s="20" t="s">
        <v>4</v>
      </c>
      <c r="E4" s="19" t="s">
        <v>1</v>
      </c>
      <c r="F4" s="19" t="s">
        <v>5</v>
      </c>
      <c r="G4" s="19" t="s">
        <v>114</v>
      </c>
      <c r="H4" s="19" t="s">
        <v>113</v>
      </c>
    </row>
    <row r="5" spans="1:75" ht="24">
      <c r="A5" s="16" t="s">
        <v>17</v>
      </c>
      <c r="B5" s="12">
        <v>0.41666666666666669</v>
      </c>
      <c r="C5" s="12">
        <v>0.66666666666666663</v>
      </c>
      <c r="D5" s="17">
        <v>41974</v>
      </c>
      <c r="E5" s="21" t="str">
        <f t="shared" ref="E5:E38" ca="1" si="0">IF(D5="","",DATEDIF(D5, TODAY(), "Y")) &amp; "歳"</f>
        <v>1歳</v>
      </c>
      <c r="F5" s="16" t="s">
        <v>119</v>
      </c>
      <c r="G5" s="68" t="s">
        <v>123</v>
      </c>
      <c r="H5" s="68"/>
      <c r="S5" s="48"/>
      <c r="BU5">
        <f t="shared" ref="BU5:BU38" ca="1" si="1">BV5-BW5</f>
        <v>2</v>
      </c>
      <c r="BV5" s="55">
        <f t="shared" ref="BV5:BV38" ca="1" si="2">YEAR(EDATE(TODAY(), -3))</f>
        <v>2016</v>
      </c>
      <c r="BW5">
        <f>YEAR(EDATE(園児情報!D5, -3))</f>
        <v>2014</v>
      </c>
    </row>
    <row r="6" spans="1:75" ht="24">
      <c r="A6" s="16" t="s">
        <v>18</v>
      </c>
      <c r="B6" s="12">
        <v>0.375</v>
      </c>
      <c r="C6" s="12">
        <v>0.70833333333333337</v>
      </c>
      <c r="D6" s="17">
        <v>42096</v>
      </c>
      <c r="E6" s="21" t="str">
        <f t="shared" ca="1" si="0"/>
        <v>1歳</v>
      </c>
      <c r="F6" s="16" t="s">
        <v>7</v>
      </c>
      <c r="G6" s="68"/>
      <c r="H6" s="68"/>
      <c r="S6" s="48"/>
      <c r="BU6">
        <f t="shared" ca="1" si="1"/>
        <v>1</v>
      </c>
      <c r="BV6" s="55">
        <f t="shared" ca="1" si="2"/>
        <v>2016</v>
      </c>
      <c r="BW6">
        <f>YEAR(EDATE(園児情報!D6, -3))</f>
        <v>2015</v>
      </c>
    </row>
    <row r="7" spans="1:75" ht="24">
      <c r="A7" s="16" t="s">
        <v>19</v>
      </c>
      <c r="B7" s="12">
        <v>0.4375</v>
      </c>
      <c r="C7" s="12">
        <v>0.72916666666666663</v>
      </c>
      <c r="D7" s="17">
        <v>41551</v>
      </c>
      <c r="E7" s="21" t="str">
        <f t="shared" ca="1" si="0"/>
        <v>3歳</v>
      </c>
      <c r="F7" s="16" t="s">
        <v>120</v>
      </c>
      <c r="G7" s="68"/>
      <c r="H7" s="68"/>
      <c r="S7" s="48"/>
      <c r="BU7">
        <f t="shared" ca="1" si="1"/>
        <v>3</v>
      </c>
      <c r="BV7" s="55">
        <f t="shared" ca="1" si="2"/>
        <v>2016</v>
      </c>
      <c r="BW7">
        <f>YEAR(EDATE(園児情報!D7, -3))</f>
        <v>2013</v>
      </c>
    </row>
    <row r="8" spans="1:75" ht="24">
      <c r="A8" s="16" t="s">
        <v>20</v>
      </c>
      <c r="B8" s="12">
        <v>0.39583333333333331</v>
      </c>
      <c r="C8" s="12">
        <v>0.625</v>
      </c>
      <c r="D8" s="17">
        <v>42510</v>
      </c>
      <c r="E8" s="21" t="str">
        <f t="shared" ca="1" si="0"/>
        <v>0歳</v>
      </c>
      <c r="F8" s="16" t="s">
        <v>15</v>
      </c>
      <c r="G8" s="68"/>
      <c r="H8" s="68"/>
      <c r="S8" s="48"/>
      <c r="BU8">
        <f t="shared" ca="1" si="1"/>
        <v>0</v>
      </c>
      <c r="BV8" s="55">
        <f t="shared" ca="1" si="2"/>
        <v>2016</v>
      </c>
      <c r="BW8">
        <f>YEAR(EDATE(園児情報!D8, -3))</f>
        <v>2016</v>
      </c>
    </row>
    <row r="9" spans="1:75" ht="24">
      <c r="A9" s="16" t="s">
        <v>21</v>
      </c>
      <c r="B9" s="12">
        <v>0.35416666666666669</v>
      </c>
      <c r="C9" s="12">
        <v>0.6875</v>
      </c>
      <c r="D9" s="17">
        <v>41144</v>
      </c>
      <c r="E9" s="21" t="str">
        <f t="shared" ca="1" si="0"/>
        <v>4歳</v>
      </c>
      <c r="F9" s="16" t="s">
        <v>10</v>
      </c>
      <c r="G9" s="68"/>
      <c r="H9" s="68"/>
      <c r="S9" s="48"/>
      <c r="BU9">
        <f t="shared" ca="1" si="1"/>
        <v>4</v>
      </c>
      <c r="BV9" s="55">
        <f t="shared" ca="1" si="2"/>
        <v>2016</v>
      </c>
      <c r="BW9">
        <f>YEAR(EDATE(園児情報!D9, -3))</f>
        <v>2012</v>
      </c>
    </row>
    <row r="10" spans="1:75" ht="24">
      <c r="A10" s="53" t="s">
        <v>56</v>
      </c>
      <c r="B10" s="51">
        <v>0.33333333333333331</v>
      </c>
      <c r="C10" s="51">
        <v>0.72916666666666663</v>
      </c>
      <c r="D10" s="54">
        <v>42068</v>
      </c>
      <c r="E10" s="21" t="str">
        <f t="shared" ca="1" si="0"/>
        <v>1歳</v>
      </c>
      <c r="F10" s="50" t="s">
        <v>119</v>
      </c>
      <c r="G10" s="68"/>
      <c r="H10" s="68"/>
      <c r="S10" s="48"/>
      <c r="BU10">
        <f t="shared" ca="1" si="1"/>
        <v>2</v>
      </c>
      <c r="BV10" s="55">
        <f t="shared" ca="1" si="2"/>
        <v>2016</v>
      </c>
      <c r="BW10">
        <f>YEAR(EDATE(園児情報!D10, -3))</f>
        <v>2014</v>
      </c>
    </row>
    <row r="11" spans="1:75" ht="24">
      <c r="A11" s="16" t="s">
        <v>22</v>
      </c>
      <c r="B11" s="12">
        <v>0.35416666666666669</v>
      </c>
      <c r="C11" s="12">
        <v>0.66666666666666663</v>
      </c>
      <c r="D11" s="17">
        <v>41733</v>
      </c>
      <c r="E11" s="21" t="str">
        <f t="shared" ca="1" si="0"/>
        <v>2歳</v>
      </c>
      <c r="F11" s="16" t="s">
        <v>118</v>
      </c>
      <c r="G11" s="68"/>
      <c r="H11" s="68"/>
      <c r="BU11">
        <f t="shared" ca="1" si="1"/>
        <v>2</v>
      </c>
      <c r="BV11" s="55">
        <f t="shared" ca="1" si="2"/>
        <v>2016</v>
      </c>
      <c r="BW11">
        <f>YEAR(EDATE(園児情報!D11, -3))</f>
        <v>2014</v>
      </c>
    </row>
    <row r="12" spans="1:75" ht="24">
      <c r="A12" s="16" t="s">
        <v>25</v>
      </c>
      <c r="B12" s="12">
        <v>0.29166666666666669</v>
      </c>
      <c r="C12" s="12">
        <v>0.66666666666666663</v>
      </c>
      <c r="D12" s="17">
        <v>42463</v>
      </c>
      <c r="E12" s="21" t="str">
        <f t="shared" ca="1" si="0"/>
        <v>0歳</v>
      </c>
      <c r="F12" s="16" t="s">
        <v>115</v>
      </c>
      <c r="G12" s="68"/>
      <c r="H12" s="68"/>
      <c r="BU12">
        <f t="shared" ca="1" si="1"/>
        <v>0</v>
      </c>
      <c r="BV12" s="55">
        <f t="shared" ca="1" si="2"/>
        <v>2016</v>
      </c>
      <c r="BW12">
        <f>YEAR(EDATE(園児情報!D12, -3))</f>
        <v>2016</v>
      </c>
    </row>
    <row r="13" spans="1:75" ht="24">
      <c r="A13" s="16" t="s">
        <v>26</v>
      </c>
      <c r="B13" s="12">
        <v>0.35416666666666669</v>
      </c>
      <c r="C13" s="12">
        <v>0.6875</v>
      </c>
      <c r="D13" s="17">
        <v>42495</v>
      </c>
      <c r="E13" s="21" t="str">
        <f t="shared" ca="1" si="0"/>
        <v>0歳</v>
      </c>
      <c r="F13" s="16" t="s">
        <v>15</v>
      </c>
      <c r="G13" s="68"/>
      <c r="H13" s="68"/>
      <c r="BU13">
        <f t="shared" ca="1" si="1"/>
        <v>0</v>
      </c>
      <c r="BV13" s="55">
        <f t="shared" ca="1" si="2"/>
        <v>2016</v>
      </c>
      <c r="BW13">
        <f>YEAR(EDATE(園児情報!D13, -3))</f>
        <v>2016</v>
      </c>
    </row>
    <row r="14" spans="1:75" ht="24">
      <c r="A14" s="16" t="s">
        <v>28</v>
      </c>
      <c r="B14" s="13">
        <v>0.35416666666666669</v>
      </c>
      <c r="C14" s="13">
        <v>0.70833333333333337</v>
      </c>
      <c r="D14" s="17">
        <v>42158</v>
      </c>
      <c r="E14" s="49" t="str">
        <f t="shared" ca="1" si="0"/>
        <v>1歳</v>
      </c>
      <c r="F14" s="14" t="s">
        <v>117</v>
      </c>
      <c r="G14" s="68"/>
      <c r="H14" s="68"/>
      <c r="BU14">
        <f t="shared" ca="1" si="1"/>
        <v>1</v>
      </c>
      <c r="BV14" s="55">
        <f t="shared" ca="1" si="2"/>
        <v>2016</v>
      </c>
      <c r="BW14">
        <f>YEAR(EDATE(園児情報!D14, -3))</f>
        <v>2015</v>
      </c>
    </row>
    <row r="15" spans="1:75" ht="24">
      <c r="A15" s="53" t="s">
        <v>29</v>
      </c>
      <c r="B15" s="51">
        <v>0.33333333333333331</v>
      </c>
      <c r="C15" s="51">
        <v>0.75</v>
      </c>
      <c r="D15" s="54">
        <v>42406</v>
      </c>
      <c r="E15" s="50" t="str">
        <f t="shared" ca="1" si="0"/>
        <v>0歳</v>
      </c>
      <c r="F15" s="54" t="s">
        <v>116</v>
      </c>
      <c r="G15" s="68"/>
      <c r="H15" s="68"/>
      <c r="BU15">
        <f t="shared" ca="1" si="1"/>
        <v>1</v>
      </c>
      <c r="BV15" s="55">
        <f t="shared" ca="1" si="2"/>
        <v>2016</v>
      </c>
      <c r="BW15">
        <f>YEAR(EDATE(園児情報!D15, -3))</f>
        <v>2015</v>
      </c>
    </row>
    <row r="16" spans="1:75" ht="24">
      <c r="A16" s="53" t="s">
        <v>57</v>
      </c>
      <c r="B16" s="51">
        <v>0.33333333333333331</v>
      </c>
      <c r="C16" s="51">
        <v>0.6875</v>
      </c>
      <c r="D16" s="54">
        <v>42468</v>
      </c>
      <c r="E16" s="21" t="str">
        <f t="shared" ca="1" si="0"/>
        <v>0歳</v>
      </c>
      <c r="F16" s="50" t="s">
        <v>115</v>
      </c>
      <c r="G16" s="68"/>
      <c r="H16" s="68"/>
      <c r="BU16">
        <f t="shared" ca="1" si="1"/>
        <v>0</v>
      </c>
      <c r="BV16" s="55">
        <f t="shared" ca="1" si="2"/>
        <v>2016</v>
      </c>
      <c r="BW16">
        <f>YEAR(EDATE(園児情報!D16, -3))</f>
        <v>2016</v>
      </c>
    </row>
    <row r="17" spans="1:75" ht="24">
      <c r="A17" s="16"/>
      <c r="B17" s="16"/>
      <c r="C17" s="16"/>
      <c r="D17" s="17"/>
      <c r="E17" s="49" t="str">
        <f t="shared" ca="1" si="0"/>
        <v>歳</v>
      </c>
      <c r="F17" s="16"/>
      <c r="G17" s="68"/>
      <c r="H17" s="68"/>
      <c r="BU17" t="e">
        <f t="shared" ca="1" si="1"/>
        <v>#NUM!</v>
      </c>
      <c r="BV17" s="55">
        <f t="shared" ca="1" si="2"/>
        <v>2016</v>
      </c>
      <c r="BW17" t="e">
        <f>YEAR(EDATE(園児情報!D17, -3))</f>
        <v>#NUM!</v>
      </c>
    </row>
    <row r="18" spans="1:75" ht="24">
      <c r="A18" s="16"/>
      <c r="B18" s="16"/>
      <c r="C18" s="16"/>
      <c r="D18" s="17"/>
      <c r="E18" s="49" t="str">
        <f t="shared" ca="1" si="0"/>
        <v>歳</v>
      </c>
      <c r="F18" s="16"/>
      <c r="G18" s="68"/>
      <c r="H18" s="68"/>
      <c r="BU18" t="e">
        <f t="shared" ca="1" si="1"/>
        <v>#NUM!</v>
      </c>
      <c r="BV18" s="55">
        <f t="shared" ca="1" si="2"/>
        <v>2016</v>
      </c>
      <c r="BW18" t="e">
        <f>YEAR(EDATE(園児情報!D18, -3))</f>
        <v>#NUM!</v>
      </c>
    </row>
    <row r="19" spans="1:75" ht="24">
      <c r="A19" s="16"/>
      <c r="B19" s="16"/>
      <c r="C19" s="16"/>
      <c r="D19" s="17"/>
      <c r="E19" s="49" t="str">
        <f t="shared" ca="1" si="0"/>
        <v>歳</v>
      </c>
      <c r="F19" s="16"/>
      <c r="G19" s="68"/>
      <c r="H19" s="68"/>
      <c r="BU19" t="e">
        <f t="shared" ca="1" si="1"/>
        <v>#NUM!</v>
      </c>
      <c r="BV19" s="55">
        <f t="shared" ca="1" si="2"/>
        <v>2016</v>
      </c>
      <c r="BW19" t="e">
        <f>YEAR(EDATE(園児情報!D19, -3))</f>
        <v>#NUM!</v>
      </c>
    </row>
    <row r="20" spans="1:75" ht="24">
      <c r="A20" s="16"/>
      <c r="B20" s="16"/>
      <c r="C20" s="16"/>
      <c r="D20" s="17"/>
      <c r="E20" s="49" t="str">
        <f t="shared" ca="1" si="0"/>
        <v>歳</v>
      </c>
      <c r="F20" s="16"/>
      <c r="G20" s="68"/>
      <c r="H20" s="68"/>
      <c r="BU20" t="e">
        <f t="shared" ca="1" si="1"/>
        <v>#NUM!</v>
      </c>
      <c r="BV20" s="55">
        <f t="shared" ca="1" si="2"/>
        <v>2016</v>
      </c>
      <c r="BW20" t="e">
        <f>YEAR(EDATE(園児情報!D20, -3))</f>
        <v>#NUM!</v>
      </c>
    </row>
    <row r="21" spans="1:75" ht="24">
      <c r="A21" s="16"/>
      <c r="B21" s="16"/>
      <c r="C21" s="16"/>
      <c r="D21" s="17"/>
      <c r="E21" s="49" t="str">
        <f t="shared" ca="1" si="0"/>
        <v>歳</v>
      </c>
      <c r="F21" s="16"/>
      <c r="G21" s="68"/>
      <c r="H21" s="68"/>
      <c r="BU21" t="e">
        <f t="shared" ca="1" si="1"/>
        <v>#NUM!</v>
      </c>
      <c r="BV21" s="55">
        <f t="shared" ca="1" si="2"/>
        <v>2016</v>
      </c>
      <c r="BW21" t="e">
        <f>YEAR(EDATE(園児情報!D21, -3))</f>
        <v>#NUM!</v>
      </c>
    </row>
    <row r="22" spans="1:75" ht="24">
      <c r="A22" s="16"/>
      <c r="B22" s="16"/>
      <c r="C22" s="16"/>
      <c r="D22" s="17"/>
      <c r="E22" s="49" t="str">
        <f t="shared" ca="1" si="0"/>
        <v>歳</v>
      </c>
      <c r="F22" s="16"/>
      <c r="G22" s="68"/>
      <c r="H22" s="68"/>
      <c r="BU22" t="e">
        <f t="shared" ca="1" si="1"/>
        <v>#NUM!</v>
      </c>
      <c r="BV22" s="55">
        <f t="shared" ca="1" si="2"/>
        <v>2016</v>
      </c>
      <c r="BW22" t="e">
        <f>YEAR(EDATE(園児情報!D22, -3))</f>
        <v>#NUM!</v>
      </c>
    </row>
    <row r="23" spans="1:75" ht="24">
      <c r="A23" s="16"/>
      <c r="B23" s="16"/>
      <c r="C23" s="16"/>
      <c r="D23" s="17"/>
      <c r="E23" s="49" t="str">
        <f t="shared" ca="1" si="0"/>
        <v>歳</v>
      </c>
      <c r="F23" s="16"/>
      <c r="G23" s="68"/>
      <c r="H23" s="68"/>
      <c r="BU23" t="e">
        <f t="shared" ca="1" si="1"/>
        <v>#NUM!</v>
      </c>
      <c r="BV23" s="55">
        <f t="shared" ca="1" si="2"/>
        <v>2016</v>
      </c>
      <c r="BW23" t="e">
        <f>YEAR(EDATE(園児情報!D23, -3))</f>
        <v>#NUM!</v>
      </c>
    </row>
    <row r="24" spans="1:75" ht="24">
      <c r="A24" s="16"/>
      <c r="B24" s="16"/>
      <c r="C24" s="16"/>
      <c r="D24" s="17"/>
      <c r="E24" s="49" t="str">
        <f t="shared" ca="1" si="0"/>
        <v>歳</v>
      </c>
      <c r="F24" s="16"/>
      <c r="G24" s="68"/>
      <c r="H24" s="68"/>
      <c r="BU24" t="e">
        <f t="shared" ca="1" si="1"/>
        <v>#NUM!</v>
      </c>
      <c r="BV24" s="55">
        <f t="shared" ca="1" si="2"/>
        <v>2016</v>
      </c>
      <c r="BW24" t="e">
        <f>YEAR(EDATE(園児情報!D24, -3))</f>
        <v>#NUM!</v>
      </c>
    </row>
    <row r="25" spans="1:75" ht="24">
      <c r="A25" s="16"/>
      <c r="B25" s="16"/>
      <c r="C25" s="16"/>
      <c r="D25" s="17"/>
      <c r="E25" s="49" t="str">
        <f t="shared" ca="1" si="0"/>
        <v>歳</v>
      </c>
      <c r="F25" s="16"/>
      <c r="G25" s="68"/>
      <c r="H25" s="68"/>
      <c r="BU25" t="e">
        <f t="shared" ca="1" si="1"/>
        <v>#NUM!</v>
      </c>
      <c r="BV25" s="55">
        <f t="shared" ca="1" si="2"/>
        <v>2016</v>
      </c>
      <c r="BW25" t="e">
        <f>YEAR(EDATE(園児情報!D25, -3))</f>
        <v>#NUM!</v>
      </c>
    </row>
    <row r="26" spans="1:75" ht="24">
      <c r="A26" s="16"/>
      <c r="B26" s="16"/>
      <c r="C26" s="16"/>
      <c r="D26" s="17"/>
      <c r="E26" s="49" t="str">
        <f t="shared" ca="1" si="0"/>
        <v>歳</v>
      </c>
      <c r="F26" s="16"/>
      <c r="G26" s="68"/>
      <c r="H26" s="68"/>
      <c r="BU26" t="e">
        <f t="shared" ca="1" si="1"/>
        <v>#NUM!</v>
      </c>
      <c r="BV26" s="55">
        <f t="shared" ca="1" si="2"/>
        <v>2016</v>
      </c>
      <c r="BW26" t="e">
        <f>YEAR(EDATE(園児情報!D26, -3))</f>
        <v>#NUM!</v>
      </c>
    </row>
    <row r="27" spans="1:75" ht="24">
      <c r="A27" s="16"/>
      <c r="B27" s="16"/>
      <c r="C27" s="16"/>
      <c r="D27" s="17"/>
      <c r="E27" s="49" t="str">
        <f t="shared" ca="1" si="0"/>
        <v>歳</v>
      </c>
      <c r="F27" s="16"/>
      <c r="G27" s="68"/>
      <c r="H27" s="68"/>
      <c r="BU27" t="e">
        <f t="shared" ca="1" si="1"/>
        <v>#NUM!</v>
      </c>
      <c r="BV27" s="55">
        <f t="shared" ca="1" si="2"/>
        <v>2016</v>
      </c>
      <c r="BW27" t="e">
        <f>YEAR(EDATE(園児情報!D27, -3))</f>
        <v>#NUM!</v>
      </c>
    </row>
    <row r="28" spans="1:75" ht="24">
      <c r="A28" s="16"/>
      <c r="B28" s="16"/>
      <c r="C28" s="16"/>
      <c r="D28" s="17"/>
      <c r="E28" s="49" t="str">
        <f t="shared" ca="1" si="0"/>
        <v>歳</v>
      </c>
      <c r="F28" s="16"/>
      <c r="G28" s="68"/>
      <c r="H28" s="68"/>
      <c r="BU28" t="e">
        <f t="shared" ca="1" si="1"/>
        <v>#NUM!</v>
      </c>
      <c r="BV28" s="55">
        <f t="shared" ca="1" si="2"/>
        <v>2016</v>
      </c>
      <c r="BW28" t="e">
        <f>YEAR(EDATE(園児情報!D28, -3))</f>
        <v>#NUM!</v>
      </c>
    </row>
    <row r="29" spans="1:75" ht="24">
      <c r="A29" s="16"/>
      <c r="B29" s="16"/>
      <c r="C29" s="16"/>
      <c r="D29" s="17"/>
      <c r="E29" s="49" t="str">
        <f t="shared" ca="1" si="0"/>
        <v>歳</v>
      </c>
      <c r="F29" s="16"/>
      <c r="G29" s="68"/>
      <c r="H29" s="68"/>
      <c r="BU29" t="e">
        <f t="shared" ca="1" si="1"/>
        <v>#NUM!</v>
      </c>
      <c r="BV29" s="55">
        <f t="shared" ca="1" si="2"/>
        <v>2016</v>
      </c>
      <c r="BW29" t="e">
        <f>YEAR(EDATE(園児情報!D29, -3))</f>
        <v>#NUM!</v>
      </c>
    </row>
    <row r="30" spans="1:75" ht="24">
      <c r="A30" s="16"/>
      <c r="B30" s="16"/>
      <c r="C30" s="16"/>
      <c r="D30" s="17"/>
      <c r="E30" s="49" t="str">
        <f t="shared" ca="1" si="0"/>
        <v>歳</v>
      </c>
      <c r="F30" s="16"/>
      <c r="G30" s="68"/>
      <c r="H30" s="68"/>
      <c r="BU30" t="e">
        <f t="shared" ca="1" si="1"/>
        <v>#NUM!</v>
      </c>
      <c r="BV30" s="55">
        <f t="shared" ca="1" si="2"/>
        <v>2016</v>
      </c>
      <c r="BW30" t="e">
        <f>YEAR(EDATE(園児情報!D30, -3))</f>
        <v>#NUM!</v>
      </c>
    </row>
    <row r="31" spans="1:75" ht="24">
      <c r="A31" s="16"/>
      <c r="B31" s="16"/>
      <c r="C31" s="16"/>
      <c r="D31" s="17"/>
      <c r="E31" s="49" t="str">
        <f t="shared" ca="1" si="0"/>
        <v>歳</v>
      </c>
      <c r="F31" s="16"/>
      <c r="G31" s="68"/>
      <c r="H31" s="68"/>
      <c r="BU31" t="e">
        <f t="shared" ca="1" si="1"/>
        <v>#NUM!</v>
      </c>
      <c r="BV31" s="55">
        <f t="shared" ca="1" si="2"/>
        <v>2016</v>
      </c>
      <c r="BW31" t="e">
        <f>YEAR(EDATE(園児情報!D31, -3))</f>
        <v>#NUM!</v>
      </c>
    </row>
    <row r="32" spans="1:75" ht="24">
      <c r="A32" s="16"/>
      <c r="B32" s="16"/>
      <c r="C32" s="16"/>
      <c r="D32" s="17"/>
      <c r="E32" s="49" t="str">
        <f t="shared" ca="1" si="0"/>
        <v>歳</v>
      </c>
      <c r="F32" s="16"/>
      <c r="G32" s="68"/>
      <c r="H32" s="68"/>
      <c r="BU32" t="e">
        <f t="shared" ca="1" si="1"/>
        <v>#NUM!</v>
      </c>
      <c r="BV32" s="55">
        <f t="shared" ca="1" si="2"/>
        <v>2016</v>
      </c>
      <c r="BW32" t="e">
        <f>YEAR(EDATE(園児情報!D32, -3))</f>
        <v>#NUM!</v>
      </c>
    </row>
    <row r="33" spans="1:75" ht="24">
      <c r="A33" s="16"/>
      <c r="B33" s="16"/>
      <c r="C33" s="16"/>
      <c r="D33" s="17"/>
      <c r="E33" s="49" t="str">
        <f t="shared" ca="1" si="0"/>
        <v>歳</v>
      </c>
      <c r="F33" s="16"/>
      <c r="G33" s="68"/>
      <c r="H33" s="68"/>
      <c r="BU33" t="e">
        <f t="shared" ca="1" si="1"/>
        <v>#NUM!</v>
      </c>
      <c r="BV33" s="55">
        <f t="shared" ca="1" si="2"/>
        <v>2016</v>
      </c>
      <c r="BW33" t="e">
        <f>YEAR(EDATE(園児情報!D33, -3))</f>
        <v>#NUM!</v>
      </c>
    </row>
    <row r="34" spans="1:75" ht="24">
      <c r="A34" s="16"/>
      <c r="B34" s="16"/>
      <c r="C34" s="16"/>
      <c r="D34" s="17"/>
      <c r="E34" s="49" t="str">
        <f t="shared" ca="1" si="0"/>
        <v>歳</v>
      </c>
      <c r="F34" s="16"/>
      <c r="G34" s="68"/>
      <c r="H34" s="68"/>
      <c r="BU34" t="e">
        <f t="shared" ca="1" si="1"/>
        <v>#NUM!</v>
      </c>
      <c r="BV34" s="55">
        <f t="shared" ca="1" si="2"/>
        <v>2016</v>
      </c>
      <c r="BW34" t="e">
        <f>YEAR(EDATE(園児情報!D34, -3))</f>
        <v>#NUM!</v>
      </c>
    </row>
    <row r="35" spans="1:75" ht="24">
      <c r="A35" s="16"/>
      <c r="B35" s="16"/>
      <c r="C35" s="16"/>
      <c r="D35" s="17"/>
      <c r="E35" s="49" t="str">
        <f t="shared" ca="1" si="0"/>
        <v>歳</v>
      </c>
      <c r="F35" s="16"/>
      <c r="G35" s="68"/>
      <c r="H35" s="68"/>
      <c r="BU35" t="e">
        <f t="shared" ca="1" si="1"/>
        <v>#NUM!</v>
      </c>
      <c r="BV35" s="55">
        <f t="shared" ca="1" si="2"/>
        <v>2016</v>
      </c>
      <c r="BW35" t="e">
        <f>YEAR(EDATE(園児情報!D35, -3))</f>
        <v>#NUM!</v>
      </c>
    </row>
    <row r="36" spans="1:75" ht="24">
      <c r="A36" s="16"/>
      <c r="B36" s="16"/>
      <c r="C36" s="16"/>
      <c r="D36" s="17"/>
      <c r="E36" s="49" t="str">
        <f t="shared" ca="1" si="0"/>
        <v>歳</v>
      </c>
      <c r="F36" s="16"/>
      <c r="G36" s="68"/>
      <c r="H36" s="68"/>
      <c r="BU36" t="e">
        <f t="shared" ca="1" si="1"/>
        <v>#NUM!</v>
      </c>
      <c r="BV36" s="55">
        <f t="shared" ca="1" si="2"/>
        <v>2016</v>
      </c>
      <c r="BW36" t="e">
        <f>YEAR(EDATE(園児情報!D36, -3))</f>
        <v>#NUM!</v>
      </c>
    </row>
    <row r="37" spans="1:75" ht="24">
      <c r="A37" s="16"/>
      <c r="B37" s="16"/>
      <c r="C37" s="16"/>
      <c r="D37" s="17"/>
      <c r="E37" s="49" t="str">
        <f t="shared" ca="1" si="0"/>
        <v>歳</v>
      </c>
      <c r="F37" s="16"/>
      <c r="G37" s="68"/>
      <c r="H37" s="68"/>
      <c r="BU37" t="e">
        <f t="shared" ca="1" si="1"/>
        <v>#NUM!</v>
      </c>
      <c r="BV37" s="55">
        <f t="shared" ca="1" si="2"/>
        <v>2016</v>
      </c>
      <c r="BW37" t="e">
        <f>YEAR(EDATE(園児情報!D37, -3))</f>
        <v>#NUM!</v>
      </c>
    </row>
    <row r="38" spans="1:75" ht="24">
      <c r="A38" s="69"/>
      <c r="B38" s="69"/>
      <c r="C38" s="69"/>
      <c r="D38" s="70"/>
      <c r="E38" s="71" t="str">
        <f t="shared" ca="1" si="0"/>
        <v>歳</v>
      </c>
      <c r="F38" s="69"/>
      <c r="G38" s="92"/>
      <c r="H38" s="92"/>
      <c r="BU38" t="e">
        <f t="shared" ca="1" si="1"/>
        <v>#NUM!</v>
      </c>
      <c r="BV38" s="55">
        <f t="shared" ca="1" si="2"/>
        <v>2016</v>
      </c>
      <c r="BW38" t="e">
        <f>YEAR(EDATE(園児情報!D38, -3))</f>
        <v>#NUM!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S51"/>
  <sheetViews>
    <sheetView topLeftCell="A8" workbookViewId="0">
      <selection activeCell="AS24" sqref="AS24"/>
    </sheetView>
  </sheetViews>
  <sheetFormatPr defaultColWidth="8.875" defaultRowHeight="24"/>
  <cols>
    <col min="1" max="1" width="12.625" style="66" customWidth="1"/>
    <col min="2" max="2" width="17.625" style="58" customWidth="1"/>
    <col min="3" max="3" width="17" style="58" customWidth="1"/>
    <col min="4" max="4" width="13.125" customWidth="1"/>
    <col min="5" max="5" width="13" customWidth="1"/>
    <col min="14" max="14" width="9.375" bestFit="1" customWidth="1"/>
    <col min="45" max="45" width="9.375" bestFit="1" customWidth="1"/>
  </cols>
  <sheetData>
    <row r="1" spans="1:45">
      <c r="F1" s="6"/>
    </row>
    <row r="3" spans="1:45">
      <c r="D3" s="6"/>
      <c r="E3" s="6"/>
    </row>
    <row r="4" spans="1:45">
      <c r="A4" s="18" t="s">
        <v>0</v>
      </c>
      <c r="B4" s="19" t="s">
        <v>69</v>
      </c>
      <c r="C4" s="19" t="s">
        <v>8</v>
      </c>
      <c r="D4" s="10"/>
      <c r="E4" s="11"/>
      <c r="F4" s="3"/>
    </row>
    <row r="5" spans="1:45">
      <c r="A5" s="16" t="s">
        <v>35</v>
      </c>
      <c r="B5" s="15" t="s">
        <v>14</v>
      </c>
      <c r="C5" s="13" t="s">
        <v>10</v>
      </c>
      <c r="D5" s="1"/>
      <c r="E5" s="8"/>
      <c r="F5" s="5"/>
      <c r="AS5" t="str">
        <f>IF(保育士情報!A$5&lt;&gt;"",LEFT(保育士情報!A$5,FIND(" ",保育士情報!A$5)-1),"")</f>
        <v>小嶋</v>
      </c>
    </row>
    <row r="6" spans="1:45">
      <c r="A6" s="16" t="s">
        <v>36</v>
      </c>
      <c r="B6" s="15" t="s">
        <v>9</v>
      </c>
      <c r="C6" s="13" t="s">
        <v>11</v>
      </c>
      <c r="D6" s="1"/>
      <c r="E6" s="8"/>
      <c r="F6" s="5"/>
      <c r="AS6" t="str">
        <f>IF(保育士情報!A$6&lt;&gt;"",LEFT(保育士情報!A$6,FIND(" ",保育士情報!A$6)-1),"")</f>
        <v>渡邉</v>
      </c>
    </row>
    <row r="7" spans="1:45">
      <c r="A7" s="16" t="s">
        <v>37</v>
      </c>
      <c r="B7" s="15" t="s">
        <v>13</v>
      </c>
      <c r="C7" s="13" t="s">
        <v>7</v>
      </c>
      <c r="D7" s="1"/>
      <c r="E7" s="8"/>
      <c r="F7" s="5"/>
      <c r="AS7" t="str">
        <f>IF(保育士情報!A$7&lt;&gt;"",LEFT(保育士情報!A$7,FIND(" ",保育士情報!A$7)-1),"")</f>
        <v>黒瀬</v>
      </c>
    </row>
    <row r="8" spans="1:45">
      <c r="A8" s="16" t="s">
        <v>38</v>
      </c>
      <c r="B8" s="15" t="s">
        <v>14</v>
      </c>
      <c r="C8" s="13" t="s">
        <v>6</v>
      </c>
      <c r="D8" s="1"/>
      <c r="E8" s="8"/>
      <c r="F8" s="5"/>
      <c r="AS8" t="str">
        <f>IF(保育士情報!A$8&lt;&gt;"",LEFT(保育士情報!A$8,FIND(" ",保育士情報!A$8)-1),"")</f>
        <v>大谷</v>
      </c>
    </row>
    <row r="9" spans="1:45">
      <c r="A9" s="16" t="s">
        <v>39</v>
      </c>
      <c r="B9" s="15" t="s">
        <v>14</v>
      </c>
      <c r="C9" s="13" t="s">
        <v>12</v>
      </c>
      <c r="D9" s="1"/>
      <c r="E9" s="8"/>
      <c r="F9" s="5"/>
      <c r="AS9" t="str">
        <f>IF(保育士情報!A$9&lt;&gt;"",LEFT(保育士情報!A$9,FIND(" ",保育士情報!A$9)-1),"")</f>
        <v>神</v>
      </c>
    </row>
    <row r="10" spans="1:45">
      <c r="A10" s="16" t="s">
        <v>40</v>
      </c>
      <c r="B10" s="14" t="s">
        <v>13</v>
      </c>
      <c r="C10" s="14" t="s">
        <v>15</v>
      </c>
      <c r="D10" s="1"/>
      <c r="E10" s="8"/>
      <c r="F10" s="4"/>
      <c r="H10" s="6"/>
      <c r="AS10" t="str">
        <f>IF(保育士情報!A$10&lt;&gt;"",LEFT(保育士情報!A$10,FIND(" ",保育士情報!A$10)-1),"")</f>
        <v>佐藤</v>
      </c>
    </row>
    <row r="11" spans="1:45">
      <c r="A11" s="16" t="s">
        <v>43</v>
      </c>
      <c r="B11" s="14" t="s">
        <v>33</v>
      </c>
      <c r="C11" s="14" t="s">
        <v>24</v>
      </c>
      <c r="D11" s="2"/>
      <c r="E11" s="9"/>
      <c r="F11" s="4"/>
      <c r="AS11" t="str">
        <f>IF(保育士情報!A$11&lt;&gt;"",LEFT(保育士情報!A$11,FIND(" ",保育士情報!A$11)-1),"")</f>
        <v>山田</v>
      </c>
    </row>
    <row r="12" spans="1:45">
      <c r="A12" s="16" t="s">
        <v>44</v>
      </c>
      <c r="B12" s="14" t="s">
        <v>33</v>
      </c>
      <c r="C12" s="14" t="s">
        <v>27</v>
      </c>
      <c r="D12" s="2"/>
      <c r="E12" s="9"/>
      <c r="F12" s="4"/>
      <c r="AS12" t="str">
        <f>IF(保育士情報!A$12&lt;&gt;"",LEFT(保育士情報!A$12,FIND(" ",保育士情報!A$12)-1),"")</f>
        <v>鈴木</v>
      </c>
    </row>
    <row r="13" spans="1:45">
      <c r="A13" s="16" t="s">
        <v>45</v>
      </c>
      <c r="B13" s="14" t="s">
        <v>33</v>
      </c>
      <c r="C13" s="14" t="s">
        <v>46</v>
      </c>
      <c r="D13" s="2"/>
      <c r="E13" s="9"/>
      <c r="F13" s="4"/>
      <c r="AS13" t="str">
        <f>IF(保育士情報!A$13&lt;&gt;"",LEFT(保育士情報!A$13,FIND(" ",保育士情報!A$13)-1),"")</f>
        <v>高橋</v>
      </c>
    </row>
    <row r="14" spans="1:45">
      <c r="A14" s="16" t="s">
        <v>47</v>
      </c>
      <c r="B14" s="14" t="s">
        <v>33</v>
      </c>
      <c r="C14" s="14" t="s">
        <v>48</v>
      </c>
      <c r="D14" s="2"/>
      <c r="E14" s="9"/>
      <c r="F14" s="4"/>
      <c r="AS14" t="str">
        <f>IF(保育士情報!A$14&lt;&gt;"",LEFT(保育士情報!A$14,FIND(" ",保育士情報!A$14)-1),"")</f>
        <v>斉藤</v>
      </c>
    </row>
    <row r="15" spans="1:45">
      <c r="A15" s="16" t="s">
        <v>49</v>
      </c>
      <c r="B15" s="14" t="s">
        <v>33</v>
      </c>
      <c r="C15" s="14" t="s">
        <v>34</v>
      </c>
      <c r="D15" s="2"/>
      <c r="E15" s="9"/>
      <c r="F15" s="4"/>
      <c r="AS15" t="str">
        <f>IF(保育士情報!A$15&lt;&gt;"",LEFT(保育士情報!A$15,FIND(" ",保育士情報!A$15)-1),"")</f>
        <v>田中</v>
      </c>
    </row>
    <row r="16" spans="1:45">
      <c r="A16" s="16" t="s">
        <v>51</v>
      </c>
      <c r="B16" s="14" t="s">
        <v>50</v>
      </c>
      <c r="C16" s="14" t="s">
        <v>34</v>
      </c>
      <c r="D16" s="2"/>
      <c r="E16" s="9"/>
      <c r="F16" s="4"/>
      <c r="AS16" t="str">
        <f>IF(保育士情報!A$16&lt;&gt;"",LEFT(保育士情報!A$16,FIND(" ",保育士情報!A$16)-1),"")</f>
        <v>向井</v>
      </c>
    </row>
    <row r="17" spans="1:45">
      <c r="A17" s="16" t="s">
        <v>52</v>
      </c>
      <c r="B17" s="14" t="s">
        <v>33</v>
      </c>
      <c r="C17" s="14" t="s">
        <v>30</v>
      </c>
      <c r="D17" s="2"/>
      <c r="E17" s="9"/>
      <c r="F17" s="4"/>
      <c r="AS17" t="str">
        <f>IF(保育士情報!A$17&lt;&gt;"",LEFT(保育士情報!A$17,FIND(" ",保育士情報!A$17)-1),"")</f>
        <v>大西</v>
      </c>
    </row>
    <row r="18" spans="1:45">
      <c r="A18" s="16" t="s">
        <v>53</v>
      </c>
      <c r="B18" s="14" t="s">
        <v>33</v>
      </c>
      <c r="C18" s="14" t="s">
        <v>16</v>
      </c>
      <c r="D18" s="2"/>
      <c r="E18" s="9"/>
      <c r="F18" s="4"/>
      <c r="AS18" t="str">
        <f>IF(保育士情報!A$18&lt;&gt;"",LEFT(保育士情報!A$18,FIND(" ",保育士情報!A$18)-1),"")</f>
        <v>三好</v>
      </c>
    </row>
    <row r="19" spans="1:45">
      <c r="A19" s="16" t="s">
        <v>54</v>
      </c>
      <c r="B19" s="14" t="s">
        <v>33</v>
      </c>
      <c r="C19" s="14" t="s">
        <v>34</v>
      </c>
      <c r="D19" s="2"/>
      <c r="E19" s="9"/>
      <c r="F19" s="4"/>
      <c r="AS19" t="str">
        <f>IF(保育士情報!A$19&lt;&gt;"",LEFT(保育士情報!A$19,FIND(" ",保育士情報!A$19)-1),"")</f>
        <v>伊藤</v>
      </c>
    </row>
    <row r="20" spans="1:45">
      <c r="A20" s="52"/>
      <c r="B20" s="14"/>
      <c r="C20" s="68"/>
      <c r="AS20" t="str">
        <f>IF(保育士情報!A20&lt;&gt;"",LEFT(保育士情報!A20,FIND(" ",保育士情報!A20)-1),"")</f>
        <v/>
      </c>
    </row>
    <row r="21" spans="1:45">
      <c r="A21" s="52"/>
      <c r="B21" s="14"/>
      <c r="C21" s="14"/>
      <c r="AS21" t="str">
        <f>IF(保育士情報!A$21&lt;&gt;"",LEFT(保育士情報!A$21,FIND(" ",保育士情報!A$21)-1),"")</f>
        <v/>
      </c>
    </row>
    <row r="22" spans="1:45">
      <c r="A22" s="52"/>
      <c r="B22" s="14"/>
      <c r="C22" s="14"/>
      <c r="AS22" t="str">
        <f>IF(保育士情報!A$22&lt;&gt;"",LEFT(保育士情報!A$22,FIND(" ",保育士情報!A$22)-1),"")</f>
        <v/>
      </c>
    </row>
    <row r="23" spans="1:45">
      <c r="A23" s="52"/>
      <c r="B23" s="14"/>
      <c r="C23" s="14"/>
      <c r="AS23" t="str">
        <f>IF(保育士情報!A$23&lt;&gt;"",LEFT(保育士情報!A$23,FIND(" ",保育士情報!A$23)-1),"")</f>
        <v/>
      </c>
    </row>
    <row r="24" spans="1:45">
      <c r="A24" s="52"/>
      <c r="B24" s="14"/>
      <c r="C24" s="14"/>
    </row>
    <row r="25" spans="1:45">
      <c r="A25" s="52"/>
      <c r="B25" s="14"/>
      <c r="C25" s="14"/>
    </row>
    <row r="26" spans="1:45">
      <c r="A26" s="52"/>
      <c r="B26" s="14"/>
      <c r="C26" s="14"/>
    </row>
    <row r="27" spans="1:45">
      <c r="A27" s="67"/>
      <c r="B27" s="59"/>
      <c r="C27" s="59"/>
    </row>
    <row r="50" spans="45:45">
      <c r="AS50" t="str">
        <f>IF(保育士情報!A$23&lt;&gt;"",LEFT(保育士情報!A$23,FIND(" ",保育士情報!A$23)-1),"")</f>
        <v/>
      </c>
    </row>
    <row r="51" spans="45:45">
      <c r="AS51" t="str">
        <f>IF(保育士情報!A$24&lt;&gt;"",LEFT(保育士情報!A$24,FIND(" ",保育士情報!A$24)-1),"")</f>
        <v/>
      </c>
    </row>
  </sheetData>
  <phoneticPr fontId="1"/>
  <conditionalFormatting sqref="CQ5:CQ19">
    <cfRule type="expression" dxfId="15" priority="48">
      <formula>LEFT(A1,FIND(" ",A5)-1)</formula>
    </cfRule>
  </conditionalFormatting>
  <conditionalFormatting sqref="Q6:Q10">
    <cfRule type="expression" priority="49">
      <formula>LEFT(A19,FIND(" ",A21)-1)</formula>
    </cfRule>
  </conditionalFormatting>
  <conditionalFormatting sqref="CQ20:CQ27">
    <cfRule type="expression" dxfId="14" priority="51">
      <formula>LEFT(A17,FIND(" ",A20)-1)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AV27"/>
  <sheetViews>
    <sheetView topLeftCell="A8" workbookViewId="0">
      <selection activeCell="AQ18" sqref="AQ18:AR19"/>
    </sheetView>
  </sheetViews>
  <sheetFormatPr defaultColWidth="9.625" defaultRowHeight="18.75"/>
  <cols>
    <col min="2" max="2" width="17.625" customWidth="1"/>
    <col min="3" max="7" width="2.375" customWidth="1"/>
    <col min="8" max="8" width="3.125" customWidth="1"/>
    <col min="9" max="9" width="2.375" customWidth="1"/>
    <col min="10" max="10" width="3.125" customWidth="1"/>
    <col min="11" max="11" width="2.375" customWidth="1"/>
    <col min="12" max="12" width="3.125" customWidth="1"/>
    <col min="13" max="13" width="2.375" customWidth="1"/>
    <col min="14" max="14" width="3.125" customWidth="1"/>
    <col min="15" max="15" width="2.375" customWidth="1"/>
    <col min="16" max="16" width="3.125" customWidth="1"/>
    <col min="17" max="17" width="2.375" customWidth="1"/>
    <col min="18" max="18" width="3.125" customWidth="1"/>
    <col min="19" max="19" width="2.375" customWidth="1"/>
    <col min="20" max="20" width="3.125" customWidth="1"/>
    <col min="21" max="21" width="2.375" customWidth="1"/>
    <col min="22" max="22" width="3.125" customWidth="1"/>
    <col min="23" max="23" width="2.375" customWidth="1"/>
    <col min="24" max="24" width="3.125" customWidth="1"/>
    <col min="25" max="48" width="2.375" customWidth="1"/>
  </cols>
  <sheetData>
    <row r="1" spans="2:48" ht="13.5" customHeight="1">
      <c r="B1" s="95" t="s">
        <v>67</v>
      </c>
      <c r="C1" s="95"/>
      <c r="D1" s="95"/>
      <c r="E1" s="95"/>
      <c r="F1" s="95"/>
      <c r="G1" s="95"/>
      <c r="H1" s="95"/>
      <c r="I1" s="95"/>
      <c r="J1" s="95"/>
      <c r="K1" s="95"/>
      <c r="L1" s="95"/>
    </row>
    <row r="2" spans="2:48">
      <c r="B2" s="95"/>
      <c r="C2" s="95"/>
      <c r="D2" s="95"/>
      <c r="E2" s="95"/>
      <c r="F2" s="95"/>
      <c r="G2" s="95"/>
      <c r="H2" s="95"/>
      <c r="I2" s="95"/>
      <c r="J2" s="95"/>
      <c r="K2" s="95"/>
      <c r="L2" s="95"/>
    </row>
    <row r="3" spans="2:48">
      <c r="B3" s="95"/>
      <c r="C3" s="95"/>
      <c r="D3" s="95"/>
      <c r="E3" s="95"/>
      <c r="F3" s="95"/>
      <c r="G3" s="95"/>
      <c r="H3" s="95"/>
      <c r="I3" s="95"/>
      <c r="J3" s="95"/>
      <c r="K3" s="95"/>
      <c r="L3" s="95"/>
    </row>
    <row r="4" spans="2:48" ht="10.5" customHeight="1">
      <c r="B4" s="95"/>
      <c r="C4" s="95"/>
      <c r="D4" s="95"/>
      <c r="E4" s="95"/>
      <c r="F4" s="95"/>
      <c r="G4" s="95"/>
      <c r="H4" s="95"/>
      <c r="I4" s="95"/>
      <c r="J4" s="95"/>
      <c r="K4" s="95"/>
      <c r="L4" s="95"/>
    </row>
    <row r="5" spans="2:48" hidden="1">
      <c r="B5" s="95"/>
      <c r="C5" s="95"/>
      <c r="D5" s="95"/>
      <c r="E5" s="95"/>
      <c r="F5" s="95"/>
      <c r="G5" s="95"/>
      <c r="H5" s="95"/>
      <c r="I5" s="95"/>
      <c r="J5" s="95"/>
      <c r="K5" s="95"/>
      <c r="L5" s="95"/>
    </row>
    <row r="6" spans="2:48">
      <c r="B6" s="56" t="s">
        <v>66</v>
      </c>
      <c r="C6" s="96">
        <f ca="1">IF(COUNT(OFFSET(園児情報!A1,4,1,70,1)),MIN(OFFSET(園児情報!A1,4,1,70,1)),"")</f>
        <v>0.29166666666666669</v>
      </c>
      <c r="D6" s="97"/>
      <c r="E6" s="96">
        <f ca="1">IF(OR(C6="",C6=MAX(OFFSET(園児情報!$A$1,4,1,70,2))),"",SMALL(OFFSET(園児情報!$A$1,4,1,70,2),COUNTIF(OFFSET(園児情報!$A$1,4,1,70,2),"&lt;="&amp;C6)+1))</f>
        <v>0.33333333333333331</v>
      </c>
      <c r="F6" s="96"/>
      <c r="G6" s="96">
        <f ca="1">IF(OR(E6="",E6=MAX(OFFSET(園児情報!$A$1,4,1,70,2))),"",SMALL(OFFSET(園児情報!$A$1,4,1,70,2),COUNTIF(OFFSET(園児情報!$A$1,4,1,70,2),"&lt;="&amp;E6)+1))</f>
        <v>0.35416666666666669</v>
      </c>
      <c r="H6" s="96"/>
      <c r="I6" s="96">
        <f ca="1">IF(OR(G6="",G6=MAX(OFFSET(園児情報!$A$1,4,1,70,2))),"",SMALL(OFFSET(園児情報!$A$1,4,1,70,2),COUNTIF(OFFSET(園児情報!$A$1,4,1,70,2),"&lt;="&amp;G6)+1))</f>
        <v>0.375</v>
      </c>
      <c r="J6" s="96"/>
      <c r="K6" s="96">
        <f ca="1">IF(OR(I6="",I6=MAX(OFFSET(園児情報!$A$1,4,1,70,2))),"",SMALL(OFFSET(園児情報!$A$1,4,1,70,2),COUNTIF(OFFSET(園児情報!$A$1,4,1,70,2),"&lt;="&amp;I6)+1))</f>
        <v>0.39583333333333331</v>
      </c>
      <c r="L6" s="96"/>
      <c r="M6" s="96">
        <f ca="1">IF(OR(K6="",K6=MAX(OFFSET(園児情報!$A$1,4,1,70,2))),"",SMALL(OFFSET(園児情報!$A$1,4,1,70,2),COUNTIF(OFFSET(園児情報!$A$1,4,1,70,2),"&lt;="&amp;K6)+1))</f>
        <v>0.41666666666666669</v>
      </c>
      <c r="N6" s="96"/>
      <c r="O6" s="96">
        <f ca="1">IF(OR(M6="",M6=MAX(OFFSET(園児情報!$A$1,4,1,70,2))),"",SMALL(OFFSET(園児情報!$A$1,4,1,70,2),COUNTIF(OFFSET(園児情報!$A$1,4,1,70,2),"&lt;="&amp;M6)+1))</f>
        <v>0.4375</v>
      </c>
      <c r="P6" s="96"/>
      <c r="Q6" s="96">
        <f ca="1">IF(OR(O6="",O6=MAX(OFFSET(園児情報!$A$1,4,1,70,2))),"",SMALL(OFFSET(園児情報!$A$1,4,1,70,2),COUNTIF(OFFSET(園児情報!$A$1,4,1,70,2),"&lt;="&amp;O6)+1))</f>
        <v>0.625</v>
      </c>
      <c r="R6" s="96"/>
      <c r="S6" s="96">
        <f ca="1">IF(OR(Q6="",Q6=MAX(OFFSET(園児情報!$A$1,4,1,70,2))),"",SMALL(OFFSET(園児情報!$A$1,4,1,70,2),COUNTIF(OFFSET(園児情報!$A$1,4,1,70,2),"&lt;="&amp;Q6)+1))</f>
        <v>0.66666666666666663</v>
      </c>
      <c r="T6" s="96"/>
      <c r="U6" s="96">
        <f ca="1">IF(OR(S6="",S6=MAX(OFFSET(園児情報!$A$1,4,1,70,2))),"",SMALL(OFFSET(園児情報!$A$1,4,1,70,2),COUNTIF(OFFSET(園児情報!$A$1,4,1,70,2),"&lt;="&amp;S6)+1))</f>
        <v>0.6875</v>
      </c>
      <c r="V6" s="96"/>
      <c r="W6" s="96">
        <f ca="1">IF(OR(U6="",U6=MAX(OFFSET(園児情報!$A$1,4,1,70,2))),"",SMALL(OFFSET(園児情報!$A$1,4,1,70,2),COUNTIF(OFFSET(園児情報!$A$1,4,1,70,2),"&lt;="&amp;U6)+1))</f>
        <v>0.70833333333333337</v>
      </c>
      <c r="X6" s="96"/>
      <c r="Y6" s="96">
        <f ca="1">IF(OR(W6="",W6=MAX(OFFSET(園児情報!$A$1,4,1,70,2))),"",SMALL(OFFSET(園児情報!$A$1,4,1,70,2),COUNTIF(OFFSET(園児情報!$A$1,4,1,70,2),"&lt;="&amp;W6)+1))</f>
        <v>0.72916666666666663</v>
      </c>
      <c r="Z6" s="96"/>
      <c r="AA6" s="96">
        <f ca="1">IF(OR(Y6="",Y6=MAX(OFFSET(園児情報!$A$1,4,1,70,2))),"",SMALL(OFFSET(園児情報!$A$1,4,1,70,2),COUNTIF(OFFSET(園児情報!$A$1,4,1,70,2),"&lt;="&amp;Y6)+1))</f>
        <v>0.75</v>
      </c>
      <c r="AB6" s="96"/>
      <c r="AC6" s="96" t="str">
        <f ca="1">IF(OR(AA6="",AA6=MAX(OFFSET(園児情報!$A$1,4,1,70,2))),"",SMALL(OFFSET(園児情報!$A$1,4,1,70,2),COUNTIF(OFFSET(園児情報!$A$1,4,1,70,2),"&lt;="&amp;AA6)+1))</f>
        <v/>
      </c>
      <c r="AD6" s="96"/>
      <c r="AE6" s="96" t="str">
        <f ca="1">IF(OR(AC6="",AC6=MAX(OFFSET(園児情報!$A$1,4,1,70,2))),"",SMALL(OFFSET(園児情報!$A$1,4,1,70,2),COUNTIF(OFFSET(園児情報!$A$1,4,1,70,2),"&lt;="&amp;AC6)+1))</f>
        <v/>
      </c>
      <c r="AF6" s="96"/>
      <c r="AG6" s="96" t="str">
        <f ca="1">IF(OR(AE6="",AE6=MAX(OFFSET(園児情報!$A$1,4,1,70,2))),"",SMALL(OFFSET(園児情報!$A$1,4,1,70,2),COUNTIF(OFFSET(園児情報!$A$1,4,1,70,2),"&lt;="&amp;AE6)+1))</f>
        <v/>
      </c>
      <c r="AH6" s="96"/>
      <c r="AI6" s="96" t="str">
        <f ca="1">IF(OR(AG6="",AG6=MAX(OFFSET(園児情報!$A$1,4,1,70,2))),"",SMALL(OFFSET(園児情報!$A$1,4,1,70,2),COUNTIF(OFFSET(園児情報!$A$1,4,1,70,2),"&lt;="&amp;AG6)+1))</f>
        <v/>
      </c>
      <c r="AJ6" s="96"/>
      <c r="AK6" s="96" t="str">
        <f ca="1">IF(OR(AI6="",AI6=MAX(OFFSET(園児情報!$A$1,4,1,70,2))),"",SMALL(OFFSET(園児情報!$A$1,4,1,70,2),COUNTIF(OFFSET(園児情報!$A$1,4,1,70,2),"&lt;="&amp;AI6)+1))</f>
        <v/>
      </c>
      <c r="AL6" s="96"/>
      <c r="AM6" s="96" t="str">
        <f ca="1">IF(OR(AK6="",AK6=MAX(OFFSET(園児情報!$A$1,4,1,70,2))),"",SMALL(OFFSET(園児情報!$A$1,4,1,70,2),COUNTIF(OFFSET(園児情報!$A$1,4,1,70,2),"&lt;="&amp;AK6)+1))</f>
        <v/>
      </c>
      <c r="AN6" s="96"/>
      <c r="AO6" s="96" t="str">
        <f ca="1">IF(OR(AM6="",AM6=MAX(OFFSET(園児情報!$A$1,4,1,70,2))),"",SMALL(OFFSET(園児情報!$A$1,4,1,70,2),COUNTIF(OFFSET(園児情報!$A$1,4,1,70,2),"&lt;="&amp;AM6)+1))</f>
        <v/>
      </c>
      <c r="AP6" s="96"/>
      <c r="AQ6" s="96" t="str">
        <f ca="1">IF(OR(AO6="",AO6=MAX(OFFSET(園児情報!$A$1,4,1,70,2))),"",SMALL(OFFSET(園児情報!$A$1,4,1,70,2),COUNTIF(OFFSET(園児情報!$A$1,4,1,70,2),"&lt;="&amp;AO6)+1))</f>
        <v/>
      </c>
      <c r="AR6" s="96"/>
      <c r="AS6" s="96" t="str">
        <f ca="1">IF(OR(AQ6="",AQ6=MAX(OFFSET(園児情報!$A$1,4,1,70,2))),"",SMALL(OFFSET(園児情報!$A$1,4,1,70,2),COUNTIF(OFFSET(園児情報!$A$1,4,1,70,2),"&lt;="&amp;AQ6)+1))</f>
        <v/>
      </c>
      <c r="AT6" s="96"/>
      <c r="AU6" s="96" t="str">
        <f ca="1">IF(OR(AS6="",AS6=MAX(OFFSET(園児情報!$A$1,4,1,70,2))),"",SMALL(OFFSET(園児情報!$A$1,4,1,70,2),COUNTIF(OFFSET(園児情報!$A$1,4,1,70,2),"&lt;="&amp;AS6)+1))</f>
        <v/>
      </c>
      <c r="AV6" s="96"/>
    </row>
    <row r="7" spans="2:48">
      <c r="B7" s="56" t="s">
        <v>23</v>
      </c>
      <c r="C7" s="94">
        <f ca="1">ROUNDUP(C8/3,0)+ROUNDUP(C11/5,0)+ROUNDUP(C14/6,0)+ROUNDUP(C18/15,0)+ROUNDUP(C21/20,0)+ROUNDUP(C24/20,0)</f>
        <v>1</v>
      </c>
      <c r="D7" s="94"/>
      <c r="E7" s="94">
        <f ca="1">IF(E6="","",ROUNDUP(E8/3,0)+ROUNDUP(E11/5,0)+ROUNDUP(E14/6,0)+ROUNDUP(E18/15,0)+ROUNDUP(E21/20,0)+ROUNDUP(E24/20,0))</f>
        <v>3</v>
      </c>
      <c r="F7" s="94"/>
      <c r="G7" s="94">
        <f ca="1">IF(G6="","",ROUNDUP(G8/3,0)+ROUNDUP(G11/5,0)+ROUNDUP(G14/6,0)+ROUNDUP(G18/15,0)+ROUNDUP(G21/20,0)+ROUNDUP(G24/20,0))</f>
        <v>4</v>
      </c>
      <c r="H7" s="94"/>
      <c r="I7" s="94">
        <f ca="1">IF(I6="","",ROUNDUP(I8/3,0)+ROUNDUP(I11/5,0)+ROUNDUP(I14/6,0)+ROUNDUP(I18/15,0)+ROUNDUP(I21/20,0)+ROUNDUP(I24/20,0))</f>
        <v>4</v>
      </c>
      <c r="J7" s="94"/>
      <c r="K7" s="94">
        <f ca="1">IF(K6="","",ROUNDUP(K8/3,0)+ROUNDUP(K11/5,0)+ROUNDUP(K14/6,0)+ROUNDUP(K18/15,0)+ROUNDUP(K21/20,0)+ROUNDUP(K24/20,0))</f>
        <v>5</v>
      </c>
      <c r="L7" s="94"/>
      <c r="M7" s="94">
        <f ca="1">IF(M6="","",ROUNDUP(M8/3,0)+ROUNDUP(M11/5,0)+ROUNDUP(M14/6,0)+ROUNDUP(M18/15,0)+ROUNDUP(M21/20,0)+ROUNDUP(M24/20,0))</f>
        <v>5</v>
      </c>
      <c r="N7" s="94"/>
      <c r="O7" s="94">
        <f ca="1">IF(O6="","",ROUNDUP(O8/3,0)+ROUNDUP(O11/5,0)+ROUNDUP(O14/6,0)+ROUNDUP(O18/15,0)+ROUNDUP(O21/20,0)+ROUNDUP(O24/20,0))</f>
        <v>6</v>
      </c>
      <c r="P7" s="94"/>
      <c r="Q7" s="94">
        <f ca="1">IF(Q6="","",ROUNDUP(Q8/3,0)+ROUNDUP(Q11/5,0)+ROUNDUP(Q14/6,0)+ROUNDUP(Q18/15,0)+ROUNDUP(Q21/20,0)+ROUNDUP(Q24/20,0))</f>
        <v>6</v>
      </c>
      <c r="R7" s="94"/>
      <c r="S7" s="94">
        <f ca="1">IF(S6="","",ROUNDUP(S8/3,0)+ROUNDUP(S11/5,0)+ROUNDUP(S14/6,0)+ROUNDUP(S18/15,0)+ROUNDUP(S21/20,0)+ROUNDUP(S24/20,0))</f>
        <v>5</v>
      </c>
      <c r="T7" s="94"/>
      <c r="U7" s="94">
        <f ca="1">IF(U6="","",ROUNDUP(U8/3,0)+ROUNDUP(U11/5,0)+ROUNDUP(U14/6,0)+ROUNDUP(U18/15,0)+ROUNDUP(U21/20,0)+ROUNDUP(U24/20,0))</f>
        <v>5</v>
      </c>
      <c r="V7" s="94"/>
      <c r="W7" s="94">
        <f ca="1">IF(W6="","",ROUNDUP(W8/3,0)+ROUNDUP(W11/5,0)+ROUNDUP(W14/6,0)+ROUNDUP(W18/15,0)+ROUNDUP(W21/20,0)+ROUNDUP(W24/20,0))</f>
        <v>3</v>
      </c>
      <c r="X7" s="94"/>
      <c r="Y7" s="94">
        <f ca="1">IF(Y6="","",ROUNDUP(Y8/3,0)+ROUNDUP(Y11/5,0)+ROUNDUP(Y14/6,0)+ROUNDUP(Y18/15,0)+ROUNDUP(Y21/20,0)+ROUNDUP(Y24/20,0))</f>
        <v>3</v>
      </c>
      <c r="Z7" s="94"/>
      <c r="AA7" s="94">
        <f ca="1">IF(AA6="","",ROUNDUP(AA8/3,0)+ROUNDUP(AA11/5,0)+ROUNDUP(AA14/6,0)+ROUNDUP(AA18/15,0)+ROUNDUP(AA21/20,0)+ROUNDUP(AA24/20,0))</f>
        <v>1</v>
      </c>
      <c r="AB7" s="94"/>
      <c r="AC7" s="94" t="str">
        <f ca="1">IF(AC6="","",ROUNDUP(AC8/3,0)+ROUNDUP(AC11/5,0)+ROUNDUP(AC14/6,0)+ROUNDUP(AC18/15,0)+ROUNDUP(AC21/20,0)+ROUNDUP(AC24/20,0))</f>
        <v/>
      </c>
      <c r="AD7" s="94"/>
      <c r="AE7" s="94" t="str">
        <f ca="1">IF(AE6="","",ROUNDUP(AE8/3,0)+ROUNDUP(AE11/5,0)+ROUNDUP(AE14/6,0)+ROUNDUP(AE18/15,0)+ROUNDUP(AE21/20,0)+ROUNDUP(AE24/20,0))</f>
        <v/>
      </c>
      <c r="AF7" s="94"/>
      <c r="AG7" s="94" t="str">
        <f ca="1">IF(AG6="","",ROUNDUP(AG8/3,0)+ROUNDUP(AG11/5,0)+ROUNDUP(AG14/6,0)+ROUNDUP(AG18/15,0)+ROUNDUP(AG21/20,0)+ROUNDUP(AG24/20,0))</f>
        <v/>
      </c>
      <c r="AH7" s="94"/>
      <c r="AI7" s="94" t="str">
        <f ca="1">IF(AI6="","",ROUNDUP(AI8/3,0)+ROUNDUP(AI11/5,0)+ROUNDUP(AI14/6,0)+ROUNDUP(AI18/15,0)+ROUNDUP(AI21/20,0)+ROUNDUP(AI24/20,0))</f>
        <v/>
      </c>
      <c r="AJ7" s="94"/>
      <c r="AK7" s="94" t="str">
        <f ca="1">IF(AK6="","",ROUNDUP(AK8/3,0)+ROUNDUP(AK11/5,0)+ROUNDUP(AK14/6,0)+ROUNDUP(AK18/15,0)+ROUNDUP(AK21/20,0)+ROUNDUP(AK24/20,0))</f>
        <v/>
      </c>
      <c r="AL7" s="94"/>
      <c r="AM7" s="94" t="str">
        <f ca="1">IF(AM6="","",ROUNDUP(AM8/3,0)+ROUNDUP(AM11/5,0)+ROUNDUP(AM14/6,0)+ROUNDUP(AM18/15,0)+ROUNDUP(AM21/20,0)+ROUNDUP(AM24/20,0))</f>
        <v/>
      </c>
      <c r="AN7" s="94"/>
      <c r="AO7" s="94" t="str">
        <f ca="1">IF(AO6="","",ROUNDUP(AO8/3,0)+ROUNDUP(AO11/5,0)+ROUNDUP(AO14/6,0)+ROUNDUP(AO18/15,0)+ROUNDUP(AO21/20,0)+ROUNDUP(AO24/20,0))</f>
        <v/>
      </c>
      <c r="AP7" s="94"/>
      <c r="AQ7" s="94" t="str">
        <f ca="1">IF(AQ6="","",ROUNDUP(AQ8/3,0)+ROUNDUP(AQ11/5,0)+ROUNDUP(AQ14/6,0)+ROUNDUP(AQ18/15,0)+ROUNDUP(AQ21/20,0)+ROUNDUP(AQ24/20,0))</f>
        <v/>
      </c>
      <c r="AR7" s="94"/>
      <c r="AS7" s="94" t="str">
        <f ca="1">IF(AS6="","",ROUNDUP(AS8/3,0)+ROUNDUP(AS11/5,0)+ROUNDUP(AS14/6,0)+ROUNDUP(AS18/15,0)+ROUNDUP(AS21/20,0)+ROUNDUP(AS24/20,0))</f>
        <v/>
      </c>
      <c r="AT7" s="94"/>
      <c r="AU7" s="94" t="str">
        <f ca="1">IF(AU6="","",ROUNDUP(AU8/3,0)+ROUNDUP(AU11/5,0)+ROUNDUP(AU14/6,0)+ROUNDUP(AU18/15,0)+ROUNDUP(AU21/20,0)+ROUNDUP(AU24/20,0))</f>
        <v/>
      </c>
      <c r="AV7" s="94"/>
    </row>
    <row r="8" spans="2:48">
      <c r="B8" s="56" t="s">
        <v>65</v>
      </c>
      <c r="C8" s="93">
        <f ca="1">IF(C6="","",SUMPRODUCT((OFFSET(園児情報!$A$1,4,1,70,1)&lt;=C6)*(OFFSET(園児情報!$A$1,4,2,70,1)&gt;=C6)*(OFFSET(園児情報!$A$1,4,5,70,1)="ひよこ")))</f>
        <v>1</v>
      </c>
      <c r="D8" s="93"/>
      <c r="E8" s="93">
        <f ca="1">IF(E6="","",SUMPRODUCT((OFFSET(園児情報!$A$1,4,1,70,1)&lt;=E6)*(OFFSET(園児情報!$A$1,4,2,70,1)&gt;=E6)*(OFFSET(園児情報!$A$1,4,5,70,1)="ひよこ")))</f>
        <v>2</v>
      </c>
      <c r="F8" s="93"/>
      <c r="G8" s="93">
        <f ca="1">IF(G6="","",SUMPRODUCT((OFFSET(園児情報!$A$1,4,1,70,1)&lt;=G6)*(OFFSET(園児情報!$A$1,4,2,70,1)&gt;=G6)*(OFFSET(園児情報!$A$1,4,5,70,1)="ひよこ")))</f>
        <v>3</v>
      </c>
      <c r="H8" s="93"/>
      <c r="I8" s="93">
        <f ca="1">IF(I6="","",SUMPRODUCT((OFFSET(園児情報!$A$1,4,1,70,1)&lt;=I6)*(OFFSET(園児情報!$A$1,4,2,70,1)&gt;=I6)*(OFFSET(園児情報!$A$1,4,5,70,1)="ひよこ")))</f>
        <v>3</v>
      </c>
      <c r="J8" s="93"/>
      <c r="K8" s="93">
        <f ca="1">IF(K6="","",SUMPRODUCT((OFFSET(園児情報!$A$1,4,1,70,1)&lt;=K6)*(OFFSET(園児情報!$A$1,4,2,70,1)&gt;=K6)*(OFFSET(園児情報!$A$1,4,5,70,1)="ひよこ")))</f>
        <v>4</v>
      </c>
      <c r="L8" s="93"/>
      <c r="M8" s="93">
        <f ca="1">IF(M6="","",SUMPRODUCT((OFFSET(園児情報!$A$1,4,1,70,1)&lt;=M6)*(OFFSET(園児情報!$A$1,4,2,70,1)&gt;=M6)*(OFFSET(園児情報!$A$1,4,5,70,1)="ひよこ")))</f>
        <v>4</v>
      </c>
      <c r="N8" s="93"/>
      <c r="O8" s="93">
        <f ca="1">IF(O6="","",SUMPRODUCT((OFFSET(園児情報!$A$1,4,1,70,1)&lt;=O6)*(OFFSET(園児情報!$A$1,4,2,70,1)&gt;=O6)*(OFFSET(園児情報!$A$1,4,5,70,1)="ひよこ")))</f>
        <v>4</v>
      </c>
      <c r="P8" s="93"/>
      <c r="Q8" s="93">
        <f ca="1">IF(Q6="","",SUMPRODUCT((OFFSET(園児情報!$A$1,4,1,70,1)&lt;=Q6)*(OFFSET(園児情報!$A$1,4,2,70,1)&gt;=Q6)*(OFFSET(園児情報!$A$1,4,5,70,1)="ひよこ")))</f>
        <v>4</v>
      </c>
      <c r="R8" s="93"/>
      <c r="S8" s="93">
        <f ca="1">IF(S6="","",SUMPRODUCT((OFFSET(園児情報!$A$1,4,1,70,1)&lt;=S6)*(OFFSET(園児情報!$A$1,4,2,70,1)&gt;=S6)*(OFFSET(園児情報!$A$1,4,5,70,1)="ひよこ")))</f>
        <v>3</v>
      </c>
      <c r="T8" s="93"/>
      <c r="U8" s="93">
        <f ca="1">IF(U6="","",SUMPRODUCT((OFFSET(園児情報!$A$1,4,1,70,1)&lt;=U6)*(OFFSET(園児情報!$A$1,4,2,70,1)&gt;=U6)*(OFFSET(園児情報!$A$1,4,5,70,1)="ひよこ")))</f>
        <v>2</v>
      </c>
      <c r="V8" s="93"/>
      <c r="W8" s="93">
        <f ca="1">IF(W6="","",SUMPRODUCT((OFFSET(園児情報!$A$1,4,1,70,1)&lt;=W6)*(OFFSET(園児情報!$A$1,4,2,70,1)&gt;=W6)*(OFFSET(園児情報!$A$1,4,5,70,1)="ひよこ")))</f>
        <v>0</v>
      </c>
      <c r="X8" s="93"/>
      <c r="Y8" s="93">
        <f ca="1">IF(Y6="","",SUMPRODUCT((OFFSET(園児情報!$A$1,4,1,70,1)&lt;=Y6)*(OFFSET(園児情報!$A$1,4,2,70,1)&gt;=Y6)*(OFFSET(園児情報!$A$1,4,5,70,1)="ひよこ")))</f>
        <v>0</v>
      </c>
      <c r="Z8" s="93"/>
      <c r="AA8" s="93">
        <f ca="1">IF(AA6="","",SUMPRODUCT((OFFSET(園児情報!$A$1,4,1,70,1)&lt;=AA6)*(OFFSET(園児情報!$A$1,4,2,70,1)&gt;=AA6)*(OFFSET(園児情報!$A$1,4,5,70,1)="ひよこ")))</f>
        <v>0</v>
      </c>
      <c r="AB8" s="93"/>
      <c r="AC8" s="93" t="str">
        <f ca="1">IF(AC6="","",SUMPRODUCT((OFFSET(園児情報!$A$1,4,1,70,1)&lt;=AC6)*(OFFSET(園児情報!$A$1,4,2,70,1)&gt;=AC6)*(OFFSET(園児情報!$A$1,4,5,70,1)="ひよこ")))</f>
        <v/>
      </c>
      <c r="AD8" s="93"/>
      <c r="AE8" s="93" t="str">
        <f ca="1">IF(AE6="","",SUMPRODUCT((OFFSET(園児情報!$A$1,4,1,70,1)&lt;=AE6)*(OFFSET(園児情報!$A$1,4,2,70,1)&gt;=AE6)*(OFFSET(園児情報!$A$1,4,5,70,1)="ひよこ")))</f>
        <v/>
      </c>
      <c r="AF8" s="93"/>
      <c r="AG8" s="93" t="str">
        <f ca="1">IF(AG6="","",SUMPRODUCT((OFFSET(園児情報!$A$1,4,1,70,1)&lt;=AG6)*(OFFSET(園児情報!$A$1,4,2,70,1)&gt;=AG6)*(OFFSET(園児情報!$A$1,4,5,70,1)="ひよこ")))</f>
        <v/>
      </c>
      <c r="AH8" s="93"/>
      <c r="AI8" s="93" t="str">
        <f ca="1">IF(AI6="","",SUMPRODUCT((OFFSET(園児情報!$A$1,4,1,70,1)&lt;=AI6)*(OFFSET(園児情報!$A$1,4,2,70,1)&gt;=AI6)*(OFFSET(園児情報!$A$1,4,5,70,1)="ひよこ")))</f>
        <v/>
      </c>
      <c r="AJ8" s="93"/>
      <c r="AK8" s="93" t="str">
        <f ca="1">IF(AK6="","",SUMPRODUCT((OFFSET(園児情報!$A$1,4,1,70,1)&lt;=AK6)*(OFFSET(園児情報!$A$1,4,2,70,1)&gt;=AK6)*(OFFSET(園児情報!$A$1,4,5,70,1)="ひよこ")))</f>
        <v/>
      </c>
      <c r="AL8" s="93"/>
      <c r="AM8" s="93" t="str">
        <f ca="1">IF(AM6="","",SUMPRODUCT((OFFSET(園児情報!$A$1,4,1,70,1)&lt;=AM6)*(OFFSET(園児情報!$A$1,4,2,70,1)&gt;=AM6)*(OFFSET(園児情報!$A$1,4,5,70,1)="ひよこ")))</f>
        <v/>
      </c>
      <c r="AN8" s="93"/>
      <c r="AO8" s="93" t="str">
        <f ca="1">IF(AO6="","",SUMPRODUCT((OFFSET(園児情報!$A$1,4,1,70,1)&lt;=AO6)*(OFFSET(園児情報!$A$1,4,2,70,1)&gt;=AO6)*(OFFSET(園児情報!$A$1,4,5,70,1)="ひよこ")))</f>
        <v/>
      </c>
      <c r="AP8" s="93"/>
      <c r="AQ8" s="93" t="str">
        <f ca="1">IF(AQ6="","",SUMPRODUCT((OFFSET(園児情報!$A$1,4,1,70,1)&lt;=AQ6)*(OFFSET(園児情報!$A$1,4,2,70,1)&gt;=AQ6)*(OFFSET(園児情報!$A$1,4,5,70,1)="ひよこ")))</f>
        <v/>
      </c>
      <c r="AR8" s="93"/>
      <c r="AS8" s="93" t="str">
        <f ca="1">IF(AS6="","",SUMPRODUCT((OFFSET(園児情報!$A$1,4,1,70,1)&lt;=AS6)*(OFFSET(園児情報!$A$1,4,2,70,1)&gt;=AS6)*(OFFSET(園児情報!$A$1,4,5,70,1)="ひよこ")))</f>
        <v/>
      </c>
      <c r="AT8" s="93"/>
      <c r="AU8" s="93" t="str">
        <f ca="1">IF(AU6="","",SUMPRODUCT((OFFSET(園児情報!$A$1,4,1,70,1)&lt;=AU6)*(OFFSET(園児情報!$A$1,4,2,70,1)&gt;=AU6)*(OFFSET(園児情報!$A$1,4,5,70,1)="ひよこ")))</f>
        <v/>
      </c>
      <c r="AV8" s="93"/>
    </row>
    <row r="9" spans="2:48">
      <c r="B9" s="57" t="str">
        <f ca="1">SUMPRODUCT(MAX(C8:AV9))&amp;"名"</f>
        <v>4名</v>
      </c>
      <c r="C9" s="93"/>
      <c r="D9" s="93"/>
      <c r="E9" s="93"/>
      <c r="F9" s="93"/>
      <c r="G9" s="93"/>
      <c r="H9" s="93"/>
      <c r="I9" s="93"/>
      <c r="J9" s="93"/>
      <c r="K9" s="93"/>
      <c r="L9" s="93"/>
      <c r="M9" s="93"/>
      <c r="N9" s="93"/>
      <c r="O9" s="93"/>
      <c r="P9" s="93"/>
      <c r="Q9" s="93"/>
      <c r="R9" s="93"/>
      <c r="S9" s="93"/>
      <c r="T9" s="93"/>
      <c r="U9" s="93"/>
      <c r="V9" s="93"/>
      <c r="W9" s="93"/>
      <c r="X9" s="93"/>
      <c r="Y9" s="93"/>
      <c r="Z9" s="93"/>
      <c r="AA9" s="93"/>
      <c r="AB9" s="93"/>
      <c r="AC9" s="93"/>
      <c r="AD9" s="93"/>
      <c r="AE9" s="93"/>
      <c r="AF9" s="93"/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</row>
    <row r="10" spans="2:48">
      <c r="B10" s="57" t="s">
        <v>59</v>
      </c>
      <c r="C10" s="93">
        <f ca="1">IF(C8="","", ROUNDUP(C8/3,0))</f>
        <v>1</v>
      </c>
      <c r="D10" s="93"/>
      <c r="E10" s="93">
        <f ca="1">IF(E8="","",ROUNDUP(E8/3,0))</f>
        <v>1</v>
      </c>
      <c r="F10" s="93"/>
      <c r="G10" s="93">
        <f t="shared" ref="G10" ca="1" si="0">IF(G8="","", ROUNDUP(G8/3,0))</f>
        <v>1</v>
      </c>
      <c r="H10" s="93"/>
      <c r="I10" s="93">
        <f t="shared" ref="I10" ca="1" si="1">IF(I8="","",ROUNDUP(I8/3,0))</f>
        <v>1</v>
      </c>
      <c r="J10" s="93"/>
      <c r="K10" s="93">
        <f t="shared" ref="K10" ca="1" si="2">IF(K8="","", ROUNDUP(K8/3,0))</f>
        <v>2</v>
      </c>
      <c r="L10" s="93"/>
      <c r="M10" s="93">
        <f t="shared" ref="M10" ca="1" si="3">IF(M8="","",ROUNDUP(M8/3,0))</f>
        <v>2</v>
      </c>
      <c r="N10" s="93"/>
      <c r="O10" s="93">
        <f t="shared" ref="O10" ca="1" si="4">IF(O8="","", ROUNDUP(O8/3,0))</f>
        <v>2</v>
      </c>
      <c r="P10" s="93"/>
      <c r="Q10" s="93">
        <f t="shared" ref="Q10" ca="1" si="5">IF(Q8="","",ROUNDUP(Q8/3,0))</f>
        <v>2</v>
      </c>
      <c r="R10" s="93"/>
      <c r="S10" s="93">
        <f t="shared" ref="S10" ca="1" si="6">IF(S8="","", ROUNDUP(S8/3,0))</f>
        <v>1</v>
      </c>
      <c r="T10" s="93"/>
      <c r="U10" s="93">
        <f t="shared" ref="U10" ca="1" si="7">IF(U8="","",ROUNDUP(U8/3,0))</f>
        <v>1</v>
      </c>
      <c r="V10" s="93"/>
      <c r="W10" s="93">
        <f t="shared" ref="W10" ca="1" si="8">IF(W8="","", ROUNDUP(W8/3,0))</f>
        <v>0</v>
      </c>
      <c r="X10" s="93"/>
      <c r="Y10" s="93">
        <f t="shared" ref="Y10" ca="1" si="9">IF(Y8="","",ROUNDUP(Y8/3,0))</f>
        <v>0</v>
      </c>
      <c r="Z10" s="93"/>
      <c r="AA10" s="93">
        <f t="shared" ref="AA10" ca="1" si="10">IF(AA8="","", ROUNDUP(AA8/3,0))</f>
        <v>0</v>
      </c>
      <c r="AB10" s="93"/>
      <c r="AC10" s="93" t="str">
        <f t="shared" ref="AC10" ca="1" si="11">IF(AC8="","",ROUNDUP(AC8/3,0))</f>
        <v/>
      </c>
      <c r="AD10" s="93"/>
      <c r="AE10" s="93" t="str">
        <f t="shared" ref="AE10" ca="1" si="12">IF(AE8="","", ROUNDUP(AE8/3,0))</f>
        <v/>
      </c>
      <c r="AF10" s="93"/>
      <c r="AG10" s="93" t="str">
        <f t="shared" ref="AG10" ca="1" si="13">IF(AG8="","",ROUNDUP(AG8/3,0))</f>
        <v/>
      </c>
      <c r="AH10" s="93"/>
      <c r="AI10" s="93" t="str">
        <f t="shared" ref="AI10" ca="1" si="14">IF(AI8="","", ROUNDUP(AI8/3,0))</f>
        <v/>
      </c>
      <c r="AJ10" s="93"/>
      <c r="AK10" s="93" t="str">
        <f t="shared" ref="AK10" ca="1" si="15">IF(AK8="","",ROUNDUP(AK8/3,0))</f>
        <v/>
      </c>
      <c r="AL10" s="93"/>
      <c r="AM10" s="93" t="str">
        <f t="shared" ref="AM10" ca="1" si="16">IF(AM8="","", ROUNDUP(AM8/3,0))</f>
        <v/>
      </c>
      <c r="AN10" s="93"/>
      <c r="AO10" s="93" t="str">
        <f t="shared" ref="AO10" ca="1" si="17">IF(AO8="","",ROUNDUP(AO8/3,0))</f>
        <v/>
      </c>
      <c r="AP10" s="93"/>
      <c r="AQ10" s="93" t="str">
        <f t="shared" ref="AQ10" ca="1" si="18">IF(AQ8="","", ROUNDUP(AQ8/3,0))</f>
        <v/>
      </c>
      <c r="AR10" s="93"/>
      <c r="AS10" s="93" t="str">
        <f t="shared" ref="AS10" ca="1" si="19">IF(AS8="","",ROUNDUP(AS8/3,0))</f>
        <v/>
      </c>
      <c r="AT10" s="93"/>
      <c r="AU10" s="93" t="str">
        <f t="shared" ref="AU10" ca="1" si="20">IF(AU8="","", ROUNDUP(AU8/3,0))</f>
        <v/>
      </c>
      <c r="AV10" s="93"/>
    </row>
    <row r="11" spans="2:48">
      <c r="B11" s="56" t="s">
        <v>64</v>
      </c>
      <c r="C11" s="94">
        <f ca="1">IF(C6="","",SUMPRODUCT((OFFSET(園児情報!$A$1,4,1,70,1)&lt;=C6)*(OFFSET(園児情報!$A$1,4,2,70,1)&gt;=C6)*(OFFSET(園児情報!$A$1,4,5,70,1)="うさぎ")))</f>
        <v>0</v>
      </c>
      <c r="D11" s="94"/>
      <c r="E11" s="94">
        <f ca="1">IF(E6="","",SUMPRODUCT((OFFSET(園児情報!$A$1,4,1,70,1)&lt;=E6)*(OFFSET(園児情報!$A$1,4,2,70,1)&gt;=E6)*(OFFSET(園児情報!$A$1,4,5,70,1)="うさぎ")))</f>
        <v>1</v>
      </c>
      <c r="F11" s="94"/>
      <c r="G11" s="94">
        <f ca="1">IF(G6="","",SUMPRODUCT((OFFSET(園児情報!$A$1,4,1,70,1)&lt;=G6)*(OFFSET(園児情報!$A$1,4,2,70,1)&gt;=G6)*(OFFSET(園児情報!$A$1,4,5,70,1)="うさぎ")))</f>
        <v>2</v>
      </c>
      <c r="H11" s="94"/>
      <c r="I11" s="94">
        <f ca="1">IF(I6="","",SUMPRODUCT((OFFSET(園児情報!$A$1,4,1,70,1)&lt;=I6)*(OFFSET(園児情報!$A$1,4,2,70,1)&gt;=I6)*(OFFSET(園児情報!$A$1,4,5,70,1)="うさぎ")))</f>
        <v>3</v>
      </c>
      <c r="J11" s="94"/>
      <c r="K11" s="94">
        <f ca="1">IF(K6="","",SUMPRODUCT((OFFSET(園児情報!$A$1,4,1,70,1)&lt;=K6)*(OFFSET(園児情報!$A$1,4,2,70,1)&gt;=K6)*(OFFSET(園児情報!$A$1,4,5,70,1)="うさぎ")))</f>
        <v>3</v>
      </c>
      <c r="L11" s="94"/>
      <c r="M11" s="94">
        <f ca="1">IF(M6="","",SUMPRODUCT((OFFSET(園児情報!$A$1,4,1,70,1)&lt;=M6)*(OFFSET(園児情報!$A$1,4,2,70,1)&gt;=M6)*(OFFSET(園児情報!$A$1,4,5,70,1)="うさぎ")))</f>
        <v>3</v>
      </c>
      <c r="N11" s="94"/>
      <c r="O11" s="94">
        <f ca="1">IF(O6="","",SUMPRODUCT((OFFSET(園児情報!$A$1,4,1,70,1)&lt;=O6)*(OFFSET(園児情報!$A$1,4,2,70,1)&gt;=O6)*(OFFSET(園児情報!$A$1,4,5,70,1)="うさぎ")))</f>
        <v>3</v>
      </c>
      <c r="P11" s="94"/>
      <c r="Q11" s="94">
        <f ca="1">IF(Q6="","",SUMPRODUCT((OFFSET(園児情報!$A$1,4,1,70,1)&lt;=Q6)*(OFFSET(園児情報!$A$1,4,2,70,1)&gt;=Q6)*(OFFSET(園児情報!$A$1,4,5,70,1)="うさぎ")))</f>
        <v>3</v>
      </c>
      <c r="R11" s="94"/>
      <c r="S11" s="94">
        <f ca="1">IF(S6="","",SUMPRODUCT((OFFSET(園児情報!$A$1,4,1,70,1)&lt;=S6)*(OFFSET(園児情報!$A$1,4,2,70,1)&gt;=S6)*(OFFSET(園児情報!$A$1,4,5,70,1)="うさぎ")))</f>
        <v>3</v>
      </c>
      <c r="T11" s="94"/>
      <c r="U11" s="94">
        <f ca="1">IF(U6="","",SUMPRODUCT((OFFSET(園児情報!$A$1,4,1,70,1)&lt;=U6)*(OFFSET(園児情報!$A$1,4,2,70,1)&gt;=U6)*(OFFSET(園児情報!$A$1,4,5,70,1)="うさぎ")))</f>
        <v>3</v>
      </c>
      <c r="V11" s="94"/>
      <c r="W11" s="94">
        <f ca="1">IF(W6="","",SUMPRODUCT((OFFSET(園児情報!$A$1,4,1,70,1)&lt;=W6)*(OFFSET(園児情報!$A$1,4,2,70,1)&gt;=W6)*(OFFSET(園児情報!$A$1,4,5,70,1)="うさぎ")))</f>
        <v>3</v>
      </c>
      <c r="X11" s="94"/>
      <c r="Y11" s="94">
        <f ca="1">IF(Y6="","",SUMPRODUCT((OFFSET(園児情報!$A$1,4,1,70,1)&lt;=Y6)*(OFFSET(園児情報!$A$1,4,2,70,1)&gt;=Y6)*(OFFSET(園児情報!$A$1,4,5,70,1)="うさぎ")))</f>
        <v>1</v>
      </c>
      <c r="Z11" s="94"/>
      <c r="AA11" s="94">
        <f ca="1">IF(AA6="","",SUMPRODUCT((OFFSET(園児情報!$A$1,4,1,70,1)&lt;=AA6)*(OFFSET(園児情報!$A$1,4,2,70,1)&gt;=AA6)*(OFFSET(園児情報!$A$1,4,5,70,1)="うさぎ")))</f>
        <v>1</v>
      </c>
      <c r="AB11" s="94"/>
      <c r="AC11" s="94" t="str">
        <f ca="1">IF(AC6="","",SUMPRODUCT((OFFSET(園児情報!$A$1,4,1,70,1)&lt;=AC6)*(OFFSET(園児情報!$A$1,4,2,70,1)&gt;=AC6)*(OFFSET(園児情報!$A$1,4,5,70,1)="うさぎ")))</f>
        <v/>
      </c>
      <c r="AD11" s="94"/>
      <c r="AE11" s="94" t="str">
        <f ca="1">IF(AE6="","",SUMPRODUCT((OFFSET(園児情報!$A$1,4,1,70,1)&lt;=AE6)*(OFFSET(園児情報!$A$1,4,2,70,1)&gt;=AE6)*(OFFSET(園児情報!$A$1,4,5,70,1)="うさぎ")))</f>
        <v/>
      </c>
      <c r="AF11" s="94"/>
      <c r="AG11" s="94" t="str">
        <f ca="1">IF(AG6="","",SUMPRODUCT((OFFSET(園児情報!$A$1,4,1,70,1)&lt;=AG6)*(OFFSET(園児情報!$A$1,4,2,70,1)&gt;=AG6)*(OFFSET(園児情報!$A$1,4,5,70,1)="うさぎ")))</f>
        <v/>
      </c>
      <c r="AH11" s="94"/>
      <c r="AI11" s="94" t="str">
        <f ca="1">IF(AI6="","",SUMPRODUCT((OFFSET(園児情報!$A$1,4,1,70,1)&lt;=AI6)*(OFFSET(園児情報!$A$1,4,2,70,1)&gt;=AI6)*(OFFSET(園児情報!$A$1,4,5,70,1)="うさぎ")))</f>
        <v/>
      </c>
      <c r="AJ11" s="94"/>
      <c r="AK11" s="94" t="str">
        <f ca="1">IF(AK6="","",SUMPRODUCT((OFFSET(園児情報!$A$1,4,1,70,1)&lt;=AK6)*(OFFSET(園児情報!$A$1,4,2,70,1)&gt;=AK6)*(OFFSET(園児情報!$A$1,4,5,70,1)="うさぎ")))</f>
        <v/>
      </c>
      <c r="AL11" s="94"/>
      <c r="AM11" s="94" t="str">
        <f ca="1">IF(AM6="","",SUMPRODUCT((OFFSET(園児情報!$A$1,4,1,70,1)&lt;=AM6)*(OFFSET(園児情報!$A$1,4,2,70,1)&gt;=AM6)*(OFFSET(園児情報!$A$1,4,5,70,1)="うさぎ")))</f>
        <v/>
      </c>
      <c r="AN11" s="94"/>
      <c r="AO11" s="94" t="str">
        <f ca="1">IF(AO6="","",SUMPRODUCT((OFFSET(園児情報!$A$1,4,1,70,1)&lt;=AO6)*(OFFSET(園児情報!$A$1,4,2,70,1)&gt;=AO6)*(OFFSET(園児情報!$A$1,4,5,70,1)="うさぎ")))</f>
        <v/>
      </c>
      <c r="AP11" s="94"/>
      <c r="AQ11" s="94" t="str">
        <f ca="1">IF(AQ6="","",SUMPRODUCT((OFFSET(園児情報!$A$1,4,1,70,1)&lt;=AQ6)*(OFFSET(園児情報!$A$1,4,2,70,1)&gt;=AQ6)*(OFFSET(園児情報!$A$1,4,5,70,1)="うさぎ")))</f>
        <v/>
      </c>
      <c r="AR11" s="94"/>
      <c r="AS11" s="94" t="str">
        <f ca="1">IF(AS6="","",SUMPRODUCT((OFFSET(園児情報!$A$1,4,1,70,1)&lt;=AS6)*(OFFSET(園児情報!$A$1,4,2,70,1)&gt;=AS6)*(OFFSET(園児情報!$A$1,4,5,70,1)="うさぎ")))</f>
        <v/>
      </c>
      <c r="AT11" s="94"/>
      <c r="AU11" s="94" t="str">
        <f ca="1">IF(AU6="","",SUMPRODUCT((OFFSET(園児情報!$A$1,4,1,70,1)&lt;=AU6)*(OFFSET(園児情報!$A$1,4,2,70,1)&gt;=AU6)*(OFFSET(園児情報!$A$1,4,5,70,1)="うさぎ")))</f>
        <v/>
      </c>
      <c r="AV11" s="94"/>
    </row>
    <row r="12" spans="2:48">
      <c r="B12" s="56" t="str">
        <f ca="1">SUMPRODUCT(MAX($C$9:$AV$11))&amp;"名"</f>
        <v>3名</v>
      </c>
      <c r="C12" s="94"/>
      <c r="D12" s="94"/>
      <c r="E12" s="94"/>
      <c r="F12" s="94"/>
      <c r="G12" s="94"/>
      <c r="H12" s="94"/>
      <c r="I12" s="94"/>
      <c r="J12" s="94"/>
      <c r="K12" s="94"/>
      <c r="L12" s="94"/>
      <c r="M12" s="94"/>
      <c r="N12" s="94"/>
      <c r="O12" s="94"/>
      <c r="P12" s="94"/>
      <c r="Q12" s="94"/>
      <c r="R12" s="94"/>
      <c r="S12" s="94"/>
      <c r="T12" s="94"/>
      <c r="U12" s="94"/>
      <c r="V12" s="94"/>
      <c r="W12" s="94"/>
      <c r="X12" s="94"/>
      <c r="Y12" s="94"/>
      <c r="Z12" s="94"/>
      <c r="AA12" s="94"/>
      <c r="AB12" s="94"/>
      <c r="AC12" s="94"/>
      <c r="AD12" s="94"/>
      <c r="AE12" s="94"/>
      <c r="AF12" s="94"/>
      <c r="AG12" s="94"/>
      <c r="AH12" s="94"/>
      <c r="AI12" s="94"/>
      <c r="AJ12" s="94"/>
      <c r="AK12" s="94"/>
      <c r="AL12" s="94"/>
      <c r="AM12" s="94"/>
      <c r="AN12" s="94"/>
      <c r="AO12" s="94"/>
      <c r="AP12" s="94"/>
      <c r="AQ12" s="94"/>
      <c r="AR12" s="94"/>
      <c r="AS12" s="94"/>
      <c r="AT12" s="94"/>
      <c r="AU12" s="94"/>
      <c r="AV12" s="94"/>
    </row>
    <row r="13" spans="2:48">
      <c r="B13" s="56" t="s">
        <v>59</v>
      </c>
      <c r="C13" s="93">
        <f ca="1">IF(C11="","",ROUNDUP(C11/5,0))</f>
        <v>0</v>
      </c>
      <c r="D13" s="93"/>
      <c r="E13" s="93">
        <f ca="1">IF(E11="","",ROUNDUP(E11/5,0))</f>
        <v>1</v>
      </c>
      <c r="F13" s="93"/>
      <c r="G13" s="93">
        <f t="shared" ref="G13" ca="1" si="21">IF(G11="","",ROUNDUP(G11/5,0))</f>
        <v>1</v>
      </c>
      <c r="H13" s="93"/>
      <c r="I13" s="93">
        <f t="shared" ref="I13" ca="1" si="22">IF(I11="","",ROUNDUP(I11/5,0))</f>
        <v>1</v>
      </c>
      <c r="J13" s="93"/>
      <c r="K13" s="93">
        <f t="shared" ref="K13" ca="1" si="23">IF(K11="","",ROUNDUP(K11/5,0))</f>
        <v>1</v>
      </c>
      <c r="L13" s="93"/>
      <c r="M13" s="93">
        <f t="shared" ref="M13" ca="1" si="24">IF(M11="","",ROUNDUP(M11/5,0))</f>
        <v>1</v>
      </c>
      <c r="N13" s="93"/>
      <c r="O13" s="93">
        <f t="shared" ref="O13" ca="1" si="25">IF(O11="","",ROUNDUP(O11/5,0))</f>
        <v>1</v>
      </c>
      <c r="P13" s="93"/>
      <c r="Q13" s="93">
        <f t="shared" ref="Q13" ca="1" si="26">IF(Q11="","",ROUNDUP(Q11/5,0))</f>
        <v>1</v>
      </c>
      <c r="R13" s="93"/>
      <c r="S13" s="93">
        <f t="shared" ref="S13" ca="1" si="27">IF(S11="","",ROUNDUP(S11/5,0))</f>
        <v>1</v>
      </c>
      <c r="T13" s="93"/>
      <c r="U13" s="93">
        <f t="shared" ref="U13" ca="1" si="28">IF(U11="","",ROUNDUP(U11/5,0))</f>
        <v>1</v>
      </c>
      <c r="V13" s="93"/>
      <c r="W13" s="93">
        <f t="shared" ref="W13" ca="1" si="29">IF(W11="","",ROUNDUP(W11/5,0))</f>
        <v>1</v>
      </c>
      <c r="X13" s="93"/>
      <c r="Y13" s="93">
        <f t="shared" ref="Y13" ca="1" si="30">IF(Y11="","",ROUNDUP(Y11/5,0))</f>
        <v>1</v>
      </c>
      <c r="Z13" s="93"/>
      <c r="AA13" s="93">
        <f t="shared" ref="AA13" ca="1" si="31">IF(AA11="","",ROUNDUP(AA11/5,0))</f>
        <v>1</v>
      </c>
      <c r="AB13" s="93"/>
      <c r="AC13" s="93" t="str">
        <f t="shared" ref="AC13" ca="1" si="32">IF(AC11="","",ROUNDUP(AC11/5,0))</f>
        <v/>
      </c>
      <c r="AD13" s="93"/>
      <c r="AE13" s="93" t="str">
        <f t="shared" ref="AE13" ca="1" si="33">IF(AE11="","",ROUNDUP(AE11/5,0))</f>
        <v/>
      </c>
      <c r="AF13" s="93"/>
      <c r="AG13" s="93" t="str">
        <f t="shared" ref="AG13" ca="1" si="34">IF(AG11="","",ROUNDUP(AG11/5,0))</f>
        <v/>
      </c>
      <c r="AH13" s="93"/>
      <c r="AI13" s="93" t="str">
        <f t="shared" ref="AI13" ca="1" si="35">IF(AI11="","",ROUNDUP(AI11/5,0))</f>
        <v/>
      </c>
      <c r="AJ13" s="93"/>
      <c r="AK13" s="93" t="str">
        <f t="shared" ref="AK13" ca="1" si="36">IF(AK11="","",ROUNDUP(AK11/5,0))</f>
        <v/>
      </c>
      <c r="AL13" s="93"/>
      <c r="AM13" s="93" t="str">
        <f t="shared" ref="AM13" ca="1" si="37">IF(AM11="","",ROUNDUP(AM11/5,0))</f>
        <v/>
      </c>
      <c r="AN13" s="93"/>
      <c r="AO13" s="93" t="str">
        <f t="shared" ref="AO13" ca="1" si="38">IF(AO11="","",ROUNDUP(AO11/5,0))</f>
        <v/>
      </c>
      <c r="AP13" s="93"/>
      <c r="AQ13" s="93" t="str">
        <f t="shared" ref="AQ13" ca="1" si="39">IF(AQ11="","",ROUNDUP(AQ11/5,0))</f>
        <v/>
      </c>
      <c r="AR13" s="93"/>
      <c r="AS13" s="93" t="str">
        <f t="shared" ref="AS13" ca="1" si="40">IF(AS11="","",ROUNDUP(AS11/5,0))</f>
        <v/>
      </c>
      <c r="AT13" s="93"/>
      <c r="AU13" s="93" t="str">
        <f t="shared" ref="AU13" ca="1" si="41">IF(AU11="","",ROUNDUP(AU11/5,0))</f>
        <v/>
      </c>
      <c r="AV13" s="93"/>
    </row>
    <row r="14" spans="2:48">
      <c r="B14" s="56" t="s">
        <v>63</v>
      </c>
      <c r="C14" s="94">
        <f ca="1">IF(C6="","",SUMPRODUCT((OFFSET(園児情報!$A$1,4,1,70,1)&lt;=C6)*(OFFSET(園児情報!$A$1,4,2,70,1)&gt;=C6)*(OFFSET(園児情報!$A$1,4,5,70,1)="かば")))</f>
        <v>0</v>
      </c>
      <c r="D14" s="94"/>
      <c r="E14" s="94">
        <f ca="1">IF(E6="","",SUMPRODUCT((OFFSET(園児情報!$A$1,4,1,70,1)&lt;=E6)*(OFFSET(園児情報!$A$1,4,2,70,1)&gt;=E6)*(OFFSET(園児情報!$A$1,4,5,70,1)="かば")))</f>
        <v>1</v>
      </c>
      <c r="F14" s="94"/>
      <c r="G14" s="94">
        <f ca="1">IF(G6="","",SUMPRODUCT((OFFSET(園児情報!$A$1,4,1,70,1)&lt;=G6)*(OFFSET(園児情報!$A$1,4,2,70,1)&gt;=G6)*(OFFSET(園児情報!$A$1,4,5,70,1)="かば")))</f>
        <v>2</v>
      </c>
      <c r="H14" s="94"/>
      <c r="I14" s="94">
        <f ca="1">IF(I6="","",SUMPRODUCT((OFFSET(園児情報!$A$1,4,1,70,1)&lt;=I6)*(OFFSET(園児情報!$A$1,4,2,70,1)&gt;=I6)*(OFFSET(園児情報!$A$1,4,5,70,1)="かば")))</f>
        <v>2</v>
      </c>
      <c r="J14" s="94"/>
      <c r="K14" s="94">
        <f ca="1">IF(K6="","",SUMPRODUCT((OFFSET(園児情報!$A$1,4,1,70,1)&lt;=K6)*(OFFSET(園児情報!$A$1,4,2,70,1)&gt;=K6)*(OFFSET(園児情報!$A$1,4,5,70,1)="かば")))</f>
        <v>2</v>
      </c>
      <c r="L14" s="94"/>
      <c r="M14" s="94">
        <f ca="1">IF(M6="","",SUMPRODUCT((OFFSET(園児情報!$A$1,4,1,70,1)&lt;=M6)*(OFFSET(園児情報!$A$1,4,2,70,1)&gt;=M6)*(OFFSET(園児情報!$A$1,4,5,70,1)="かば")))</f>
        <v>3</v>
      </c>
      <c r="N14" s="94"/>
      <c r="O14" s="94">
        <f ca="1">IF(O6="","",SUMPRODUCT((OFFSET(園児情報!$A$1,4,1,70,1)&lt;=O6)*(OFFSET(園児情報!$A$1,4,2,70,1)&gt;=O6)*(OFFSET(園児情報!$A$1,4,5,70,1)="かば")))</f>
        <v>3</v>
      </c>
      <c r="P14" s="94"/>
      <c r="Q14" s="94">
        <f ca="1">IF(Q6="","",SUMPRODUCT((OFFSET(園児情報!$A$1,4,1,70,1)&lt;=Q6)*(OFFSET(園児情報!$A$1,4,2,70,1)&gt;=Q6)*(OFFSET(園児情報!$A$1,4,5,70,1)="かば")))</f>
        <v>3</v>
      </c>
      <c r="R14" s="94"/>
      <c r="S14" s="94">
        <f ca="1">IF(S6="","",SUMPRODUCT((OFFSET(園児情報!$A$1,4,1,70,1)&lt;=S6)*(OFFSET(園児情報!$A$1,4,2,70,1)&gt;=S6)*(OFFSET(園児情報!$A$1,4,5,70,1)="かば")))</f>
        <v>3</v>
      </c>
      <c r="T14" s="94"/>
      <c r="U14" s="94">
        <f ca="1">IF(U6="","",SUMPRODUCT((OFFSET(園児情報!$A$1,4,1,70,1)&lt;=U6)*(OFFSET(園児情報!$A$1,4,2,70,1)&gt;=U6)*(OFFSET(園児情報!$A$1,4,5,70,1)="かば")))</f>
        <v>1</v>
      </c>
      <c r="V14" s="94"/>
      <c r="W14" s="94">
        <f ca="1">IF(W6="","",SUMPRODUCT((OFFSET(園児情報!$A$1,4,1,70,1)&lt;=W6)*(OFFSET(園児情報!$A$1,4,2,70,1)&gt;=W6)*(OFFSET(園児情報!$A$1,4,5,70,1)="かば")))</f>
        <v>1</v>
      </c>
      <c r="X14" s="94"/>
      <c r="Y14" s="94">
        <f ca="1">IF(Y6="","",SUMPRODUCT((OFFSET(園児情報!$A$1,4,1,70,1)&lt;=Y6)*(OFFSET(園児情報!$A$1,4,2,70,1)&gt;=Y6)*(OFFSET(園児情報!$A$1,4,5,70,1)="かば")))</f>
        <v>1</v>
      </c>
      <c r="Z14" s="94"/>
      <c r="AA14" s="94">
        <f ca="1">IF(AA6="","",SUMPRODUCT((OFFSET(園児情報!$A$1,4,1,70,1)&lt;=AA6)*(OFFSET(園児情報!$A$1,4,2,70,1)&gt;=AA6)*(OFFSET(園児情報!$A$1,4,5,70,1)="かば")))</f>
        <v>0</v>
      </c>
      <c r="AB14" s="94"/>
      <c r="AC14" s="94" t="str">
        <f ca="1">IF(AC6="","",SUMPRODUCT((OFFSET(園児情報!$A$1,4,1,70,1)&lt;=AC6)*(OFFSET(園児情報!$A$1,4,2,70,1)&gt;=AC6)*(OFFSET(園児情報!$A$1,4,5,70,1)="かば")))</f>
        <v/>
      </c>
      <c r="AD14" s="94"/>
      <c r="AE14" s="94" t="str">
        <f ca="1">IF(AE6="","",SUMPRODUCT((OFFSET(園児情報!$A$1,4,1,70,1)&lt;=AE6)*(OFFSET(園児情報!$A$1,4,2,70,1)&gt;=AE6)*(OFFSET(園児情報!$A$1,4,5,70,1)="かば")))</f>
        <v/>
      </c>
      <c r="AF14" s="94"/>
      <c r="AG14" s="94" t="str">
        <f ca="1">IF(AG6="","",SUMPRODUCT((OFFSET(園児情報!$A$1,4,1,70,1)&lt;=AG6)*(OFFSET(園児情報!$A$1,4,2,70,1)&gt;=AG6)*(OFFSET(園児情報!$A$1,4,5,70,1)="かば")))</f>
        <v/>
      </c>
      <c r="AH14" s="94"/>
      <c r="AI14" s="94" t="str">
        <f ca="1">IF(AI6="","",SUMPRODUCT((OFFSET(園児情報!$A$1,4,1,70,1)&lt;=AI6)*(OFFSET(園児情報!$A$1,4,2,70,1)&gt;=AI6)*(OFFSET(園児情報!$A$1,4,5,70,1)="かば")))</f>
        <v/>
      </c>
      <c r="AJ14" s="94"/>
      <c r="AK14" s="94" t="str">
        <f ca="1">IF(AK6="","",SUMPRODUCT((OFFSET(園児情報!$A$1,4,1,70,1)&lt;=AK6)*(OFFSET(園児情報!$A$1,4,2,70,1)&gt;=AK6)*(OFFSET(園児情報!$A$1,4,5,70,1)="かば")))</f>
        <v/>
      </c>
      <c r="AL14" s="94"/>
      <c r="AM14" s="94" t="str">
        <f ca="1">IF(AM6="","",SUMPRODUCT((OFFSET(園児情報!$A$1,4,1,70,1)&lt;=AM6)*(OFFSET(園児情報!$A$1,4,2,70,1)&gt;=AM6)*(OFFSET(園児情報!$A$1,4,5,70,1)="かば")))</f>
        <v/>
      </c>
      <c r="AN14" s="94"/>
      <c r="AO14" s="94" t="str">
        <f ca="1">IF(AO6="","",SUMPRODUCT((OFFSET(園児情報!$A$1,4,1,70,1)&lt;=AO6)*(OFFSET(園児情報!$A$1,4,2,70,1)&gt;=AO6)*(OFFSET(園児情報!$A$1,4,5,70,1)="かば")))</f>
        <v/>
      </c>
      <c r="AP14" s="94"/>
      <c r="AQ14" s="94" t="str">
        <f ca="1">IF(AQ6="","",SUMPRODUCT((OFFSET(園児情報!$A$1,4,1,70,1)&lt;=AQ6)*(OFFSET(園児情報!$A$1,4,2,70,1)&gt;=AQ6)*(OFFSET(園児情報!$A$1,4,5,70,1)="かば")))</f>
        <v/>
      </c>
      <c r="AR14" s="94"/>
      <c r="AS14" s="94" t="str">
        <f ca="1">IF(AS6="","",SUMPRODUCT((OFFSET(園児情報!$A$1,4,1,70,1)&lt;=AS6)*(OFFSET(園児情報!$A$1,4,2,70,1)&gt;=AS6)*(OFFSET(園児情報!$A$1,4,5,70,1)="かば")))</f>
        <v/>
      </c>
      <c r="AT14" s="94"/>
      <c r="AU14" s="94" t="str">
        <f ca="1">IF(AU6="","",SUMPRODUCT((OFFSET(園児情報!$A$1,4,1,70,1)&lt;=AU6)*(OFFSET(園児情報!$A$1,4,2,70,1)&gt;=AU6)*(OFFSET(園児情報!$A$1,4,5,70,1)="かば")))</f>
        <v/>
      </c>
      <c r="AV14" s="94"/>
    </row>
    <row r="15" spans="2:48">
      <c r="B15" s="56" t="str">
        <f ca="1">SUMPRODUCT(MAX($C$12:$AV$14))&amp;"名"</f>
        <v>3名</v>
      </c>
      <c r="C15" s="94"/>
      <c r="D15" s="94"/>
      <c r="E15" s="94"/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94"/>
      <c r="R15" s="94"/>
      <c r="S15" s="94"/>
      <c r="T15" s="94"/>
      <c r="U15" s="94"/>
      <c r="V15" s="94"/>
      <c r="W15" s="94"/>
      <c r="X15" s="94"/>
      <c r="Y15" s="94"/>
      <c r="Z15" s="94"/>
      <c r="AA15" s="94"/>
      <c r="AB15" s="94"/>
      <c r="AC15" s="94"/>
      <c r="AD15" s="94"/>
      <c r="AE15" s="94"/>
      <c r="AF15" s="94"/>
      <c r="AG15" s="94"/>
      <c r="AH15" s="94"/>
      <c r="AI15" s="94"/>
      <c r="AJ15" s="94"/>
      <c r="AK15" s="94"/>
      <c r="AL15" s="94"/>
      <c r="AM15" s="94"/>
      <c r="AN15" s="94"/>
      <c r="AO15" s="94"/>
      <c r="AP15" s="94"/>
      <c r="AQ15" s="94"/>
      <c r="AR15" s="94"/>
      <c r="AS15" s="94"/>
      <c r="AT15" s="94"/>
      <c r="AU15" s="94"/>
      <c r="AV15" s="94"/>
    </row>
    <row r="16" spans="2:48">
      <c r="B16" s="56" t="s">
        <v>59</v>
      </c>
      <c r="C16" s="93">
        <f ca="1">IF(C14="","",ROUNDUP(C14/6,0))</f>
        <v>0</v>
      </c>
      <c r="D16" s="93"/>
      <c r="E16" s="93">
        <f ca="1">IF(E14="","",ROUNDUP(E14/6,0))</f>
        <v>1</v>
      </c>
      <c r="F16" s="93"/>
      <c r="G16" s="93">
        <f t="shared" ref="G16" ca="1" si="42">IF(G14="","",ROUNDUP(G14/6,0))</f>
        <v>1</v>
      </c>
      <c r="H16" s="93"/>
      <c r="I16" s="93">
        <f t="shared" ref="I16" ca="1" si="43">IF(I14="","",ROUNDUP(I14/6,0))</f>
        <v>1</v>
      </c>
      <c r="J16" s="93"/>
      <c r="K16" s="93">
        <f t="shared" ref="K16" ca="1" si="44">IF(K14="","",ROUNDUP(K14/6,0))</f>
        <v>1</v>
      </c>
      <c r="L16" s="93"/>
      <c r="M16" s="93">
        <f t="shared" ref="M16" ca="1" si="45">IF(M14="","",ROUNDUP(M14/6,0))</f>
        <v>1</v>
      </c>
      <c r="N16" s="93"/>
      <c r="O16" s="93">
        <f t="shared" ref="O16" ca="1" si="46">IF(O14="","",ROUNDUP(O14/6,0))</f>
        <v>1</v>
      </c>
      <c r="P16" s="93"/>
      <c r="Q16" s="93">
        <f t="shared" ref="Q16" ca="1" si="47">IF(Q14="","",ROUNDUP(Q14/6,0))</f>
        <v>1</v>
      </c>
      <c r="R16" s="93"/>
      <c r="S16" s="93">
        <f t="shared" ref="S16" ca="1" si="48">IF(S14="","",ROUNDUP(S14/6,0))</f>
        <v>1</v>
      </c>
      <c r="T16" s="93"/>
      <c r="U16" s="93">
        <f t="shared" ref="U16" ca="1" si="49">IF(U14="","",ROUNDUP(U14/6,0))</f>
        <v>1</v>
      </c>
      <c r="V16" s="93"/>
      <c r="W16" s="93">
        <f t="shared" ref="W16" ca="1" si="50">IF(W14="","",ROUNDUP(W14/6,0))</f>
        <v>1</v>
      </c>
      <c r="X16" s="93"/>
      <c r="Y16" s="93">
        <f t="shared" ref="Y16" ca="1" si="51">IF(Y14="","",ROUNDUP(Y14/6,0))</f>
        <v>1</v>
      </c>
      <c r="Z16" s="93"/>
      <c r="AA16" s="93">
        <f t="shared" ref="AA16" ca="1" si="52">IF(AA14="","",ROUNDUP(AA14/6,0))</f>
        <v>0</v>
      </c>
      <c r="AB16" s="93"/>
      <c r="AC16" s="93" t="str">
        <f t="shared" ref="AC16" ca="1" si="53">IF(AC14="","",ROUNDUP(AC14/6,0))</f>
        <v/>
      </c>
      <c r="AD16" s="93"/>
      <c r="AE16" s="93" t="str">
        <f t="shared" ref="AE16" ca="1" si="54">IF(AE14="","",ROUNDUP(AE14/6,0))</f>
        <v/>
      </c>
      <c r="AF16" s="93"/>
      <c r="AG16" s="93" t="str">
        <f t="shared" ref="AG16" ca="1" si="55">IF(AG14="","",ROUNDUP(AG14/6,0))</f>
        <v/>
      </c>
      <c r="AH16" s="93"/>
      <c r="AI16" s="93" t="str">
        <f t="shared" ref="AI16" ca="1" si="56">IF(AI14="","",ROUNDUP(AI14/6,0))</f>
        <v/>
      </c>
      <c r="AJ16" s="93"/>
      <c r="AK16" s="93" t="str">
        <f t="shared" ref="AK16" ca="1" si="57">IF(AK14="","",ROUNDUP(AK14/6,0))</f>
        <v/>
      </c>
      <c r="AL16" s="93"/>
      <c r="AM16" s="93" t="str">
        <f t="shared" ref="AM16" ca="1" si="58">IF(AM14="","",ROUNDUP(AM14/6,0))</f>
        <v/>
      </c>
      <c r="AN16" s="93"/>
      <c r="AO16" s="93" t="str">
        <f t="shared" ref="AO16" ca="1" si="59">IF(AO14="","",ROUNDUP(AO14/6,0))</f>
        <v/>
      </c>
      <c r="AP16" s="93"/>
      <c r="AQ16" s="93" t="str">
        <f t="shared" ref="AQ16" ca="1" si="60">IF(AQ14="","",ROUNDUP(AQ14/6,0))</f>
        <v/>
      </c>
      <c r="AR16" s="93"/>
      <c r="AS16" s="93" t="str">
        <f t="shared" ref="AS16" ca="1" si="61">IF(AS14="","",ROUNDUP(AS14/6,0))</f>
        <v/>
      </c>
      <c r="AT16" s="93"/>
      <c r="AU16" s="93" t="str">
        <f t="shared" ref="AU16" ca="1" si="62">IF(AU14="","",ROUNDUP(AU14/6,0))</f>
        <v/>
      </c>
      <c r="AV16" s="93"/>
    </row>
    <row r="17" spans="2:48">
      <c r="B17" s="22" t="s">
        <v>58</v>
      </c>
      <c r="C17" s="60">
        <f ca="1">IF(C6="","",SUM(C10,C13,C16))</f>
        <v>1</v>
      </c>
      <c r="D17" s="61">
        <f ca="1">IF(C6="","",SUM(C8,C11,C14))</f>
        <v>1</v>
      </c>
      <c r="E17" s="60">
        <f ca="1">IF(E6="","",SUM(E10,E13,E16))</f>
        <v>3</v>
      </c>
      <c r="F17" s="60">
        <f ca="1">IF(E6="","",SUM(E8,E11,E14))</f>
        <v>4</v>
      </c>
      <c r="G17" s="60">
        <f ca="1">IF(G6="","",SUM(G10,G13,G16))</f>
        <v>3</v>
      </c>
      <c r="H17" s="62">
        <f ca="1">IF(G6="","",SUM(G8,G11,G14))</f>
        <v>7</v>
      </c>
      <c r="I17" s="60">
        <f ca="1">IF(I6="","",SUM(I10,I13,I16))</f>
        <v>3</v>
      </c>
      <c r="J17" s="62">
        <f ca="1">IF(I6="","",SUM(I8,I11,I14))</f>
        <v>8</v>
      </c>
      <c r="K17" s="60">
        <f ca="1">IF(K6="","",SUM(K10,K13,K16))</f>
        <v>4</v>
      </c>
      <c r="L17" s="61">
        <f ca="1">IF(K6="","",SUM(K8,K11,K14))</f>
        <v>9</v>
      </c>
      <c r="M17" s="60">
        <f ca="1">IF(M6="","",SUM(M10,M13,M16))</f>
        <v>4</v>
      </c>
      <c r="N17" s="63">
        <f ca="1">IF(M6="","",SUM(M8,M11,M14))</f>
        <v>10</v>
      </c>
      <c r="O17" s="60">
        <f ca="1">IF(O6="","",SUM(O10,O13,O16))</f>
        <v>4</v>
      </c>
      <c r="P17" s="62">
        <f ca="1">IF(O6="","",SUM(O8,O11,O14))</f>
        <v>10</v>
      </c>
      <c r="Q17" s="60">
        <f ca="1">IF(Q6="","",SUM(Q10,Q13,Q16))</f>
        <v>4</v>
      </c>
      <c r="R17" s="62">
        <f ca="1">IF(Q6="","",SUM(Q8,Q11,Q14))</f>
        <v>10</v>
      </c>
      <c r="S17" s="60">
        <f ca="1">IF(S6="","",SUM(S10,S13,S16))</f>
        <v>3</v>
      </c>
      <c r="T17" s="62">
        <f ca="1">IF(S6="","",SUM(S8,S11,S14))</f>
        <v>9</v>
      </c>
      <c r="U17" s="60">
        <f ca="1">IF(U6="","",SUM(U10,U13,U16))</f>
        <v>3</v>
      </c>
      <c r="V17" s="62">
        <f ca="1">IF(U6="","",SUM(U8,U11,U14))</f>
        <v>6</v>
      </c>
      <c r="W17" s="60">
        <f ca="1">IF(W6="","",SUM(W10,W13,W16))</f>
        <v>2</v>
      </c>
      <c r="X17" s="63">
        <f ca="1">IF(W6="","",SUM(W8,W11,W14))</f>
        <v>4</v>
      </c>
      <c r="Y17" s="60">
        <f ca="1">IF(Y6="","",SUM(Y10,Y13,Y16))</f>
        <v>2</v>
      </c>
      <c r="Z17" s="63">
        <f ca="1">IF(Y6="","",SUM(Y8,Y11,Y14))</f>
        <v>2</v>
      </c>
      <c r="AA17" s="60">
        <f ca="1">IF(AA6="","",SUM(AA10,AA13,AA16))</f>
        <v>1</v>
      </c>
      <c r="AB17" s="62">
        <f ca="1">IF(AA6="","",SUM(AA8,AA11,AA14))</f>
        <v>1</v>
      </c>
      <c r="AC17" s="60" t="str">
        <f ca="1">IF(AC6="","",SUM(AC10,AC13,AC16))</f>
        <v/>
      </c>
      <c r="AD17" s="62" t="str">
        <f ca="1">IF(AC6="","",SUM(AC8,AC11,AC14))</f>
        <v/>
      </c>
      <c r="AE17" s="60" t="str">
        <f ca="1">IF(AE6="","",SUM(AE10,AE13,AE16))</f>
        <v/>
      </c>
      <c r="AF17" s="62" t="str">
        <f ca="1">IF(AE6="","",SUM(AE8,AE11,AE14))</f>
        <v/>
      </c>
      <c r="AG17" s="62"/>
      <c r="AH17" s="63" t="str">
        <f>IF(AH6="","",SUM(AH8,AH11,AH14))</f>
        <v/>
      </c>
      <c r="AI17" s="62"/>
      <c r="AJ17" s="62" t="str">
        <f>IF(AJ6="","",SUM(AJ8,AJ11,AJ14))</f>
        <v/>
      </c>
      <c r="AK17" s="64"/>
      <c r="AL17" s="64" t="str">
        <f>IF(AL6="","",SUM(AL8,AL11,AL14))</f>
        <v/>
      </c>
      <c r="AM17" s="64"/>
      <c r="AN17" s="64" t="str">
        <f ca="1">IF(AM6="","",SUM(AM8,AM11,AM14))</f>
        <v/>
      </c>
      <c r="AO17" s="64"/>
      <c r="AP17" s="64" t="str">
        <f>IF(AP6="","",SUM(AP8,AP11,AP14))</f>
        <v/>
      </c>
      <c r="AQ17" s="64"/>
      <c r="AR17" s="64" t="str">
        <f ca="1">IF(AQ6="","",SUM(AQ8,AQ11,AQ14))</f>
        <v/>
      </c>
      <c r="AS17" s="64"/>
      <c r="AT17" s="65" t="str">
        <f ca="1">IF(AS6="","",SUM(AS8,AS11,AS14))</f>
        <v/>
      </c>
      <c r="AU17" s="64"/>
      <c r="AV17" s="64" t="str">
        <f ca="1">IF(AU6="","",SUM(AU8,AU11,AU14))</f>
        <v/>
      </c>
    </row>
    <row r="18" spans="2:48">
      <c r="B18" s="23" t="s">
        <v>62</v>
      </c>
      <c r="C18" s="93">
        <f ca="1">IF(C6="","",SUMPRODUCT((OFFSET(園児情報!$A$1,4,1,70,1)&lt;=C6)*(OFFSET(園児情報!$A$1,4,2,70,1)&gt;=C6)*(OFFSET(園児情報!$A$1,4,5,70,1)="ぞう")))</f>
        <v>0</v>
      </c>
      <c r="D18" s="93"/>
      <c r="E18" s="93">
        <f ca="1">IF(E6="","",SUMPRODUCT((OFFSET(園児情報!$A$1,4,1,70,1)&lt;=E6)*(OFFSET(園児情報!$A$1,4,2,70,1)&gt;=E6)*(OFFSET(園児情報!$A$1,4,5,70,1)="ぞう")))</f>
        <v>0</v>
      </c>
      <c r="F18" s="93"/>
      <c r="G18" s="93">
        <f ca="1">IF(G6="","",SUMPRODUCT((OFFSET(園児情報!$A$1,4,1,70,1)&lt;=G6)*(OFFSET(園児情報!$A$1,4,2,70,1)&gt;=G6)*(OFFSET(園児情報!$A$1,4,5,70,1)="ぞう")))</f>
        <v>0</v>
      </c>
      <c r="H18" s="93"/>
      <c r="I18" s="93">
        <f ca="1">IF(I6="","",SUMPRODUCT((OFFSET(園児情報!$A$1,4,1,70,1)&lt;=I6)*(OFFSET(園児情報!$A$1,4,2,70,1)&gt;=I6)*(OFFSET(園児情報!$A$1,4,5,70,1)="ぞう")))</f>
        <v>0</v>
      </c>
      <c r="J18" s="93"/>
      <c r="K18" s="93">
        <f ca="1">IF(K6="","",SUMPRODUCT((OFFSET(園児情報!$A$1,4,1,70,1)&lt;=K6)*(OFFSET(園児情報!$A$1,4,2,70,1)&gt;=K6)*(OFFSET(園児情報!$A$1,4,5,70,1)="ぞう")))</f>
        <v>0</v>
      </c>
      <c r="L18" s="93"/>
      <c r="M18" s="93">
        <f ca="1">IF(M6="","",SUMPRODUCT((OFFSET(園児情報!$A$1,4,1,70,1)&lt;=M6)*(OFFSET(園児情報!$A$1,4,2,70,1)&gt;=M6)*(OFFSET(園児情報!$A$1,4,5,70,1)="ぞう")))</f>
        <v>0</v>
      </c>
      <c r="N18" s="93"/>
      <c r="O18" s="93">
        <f ca="1">IF(O6="","",SUMPRODUCT((OFFSET(園児情報!$A$1,4,1,70,1)&lt;=O6)*(OFFSET(園児情報!$A$1,4,2,70,1)&gt;=O6)*(OFFSET(園児情報!$A$1,4,5,70,1)="ぞう")))</f>
        <v>1</v>
      </c>
      <c r="P18" s="93"/>
      <c r="Q18" s="93">
        <f ca="1">IF(Q6="","",SUMPRODUCT((OFFSET(園児情報!$A$1,4,1,70,1)&lt;=Q6)*(OFFSET(園児情報!$A$1,4,2,70,1)&gt;=Q6)*(OFFSET(園児情報!$A$1,4,5,70,1)="ぞう")))</f>
        <v>1</v>
      </c>
      <c r="R18" s="93"/>
      <c r="S18" s="93">
        <f ca="1">IF(S6="","",SUMPRODUCT((OFFSET(園児情報!$A$1,4,1,70,1)&lt;=S6)*(OFFSET(園児情報!$A$1,4,2,70,1)&gt;=S6)*(OFFSET(園児情報!$A$1,4,5,70,1)="ぞう")))</f>
        <v>1</v>
      </c>
      <c r="T18" s="93"/>
      <c r="U18" s="93">
        <f ca="1">IF(U6="","",SUMPRODUCT((OFFSET(園児情報!$A$1,4,1,70,1)&lt;=U6)*(OFFSET(園児情報!$A$1,4,2,70,1)&gt;=U6)*(OFFSET(園児情報!$A$1,4,5,70,1)="ぞう")))</f>
        <v>1</v>
      </c>
      <c r="V18" s="93"/>
      <c r="W18" s="93">
        <f ca="1">IF(W6="","",SUMPRODUCT((OFFSET(園児情報!$A$1,4,1,70,1)&lt;=W6)*(OFFSET(園児情報!$A$1,4,2,70,1)&gt;=W6)*(OFFSET(園児情報!$A$1,4,5,70,1)="ぞう")))</f>
        <v>1</v>
      </c>
      <c r="X18" s="93"/>
      <c r="Y18" s="93">
        <f ca="1">IF(Y6="","",SUMPRODUCT((OFFSET(園児情報!$A$1,4,1,70,1)&lt;=Y6)*(OFFSET(園児情報!$A$1,4,2,70,1)&gt;=Y6)*(OFFSET(園児情報!$A$1,4,5,70,1)="ぞう")))</f>
        <v>1</v>
      </c>
      <c r="Z18" s="93"/>
      <c r="AA18" s="93">
        <f ca="1">IF(AA6="","",SUMPRODUCT((OFFSET(園児情報!$A$1,4,1,70,1)&lt;=AA6)*(OFFSET(園児情報!$A$1,4,2,70,1)&gt;=AA6)*(OFFSET(園児情報!$A$1,4,5,70,1)="ぞう")))</f>
        <v>0</v>
      </c>
      <c r="AB18" s="93"/>
      <c r="AC18" s="93" t="str">
        <f ca="1">IF(AC6="","",SUMPRODUCT((OFFSET(園児情報!$A$1,4,1,70,1)&lt;=AC6)*(OFFSET(園児情報!$A$1,4,2,70,1)&gt;=AC6)*(OFFSET(園児情報!$A$1,4,5,70,1)="ぞう")))</f>
        <v/>
      </c>
      <c r="AD18" s="93"/>
      <c r="AE18" s="93" t="str">
        <f ca="1">IF(AE6="","",SUMPRODUCT((OFFSET(園児情報!$A$1,4,1,70,1)&lt;=AE6)*(OFFSET(園児情報!$A$1,4,2,70,1)&gt;=AE6)*(OFFSET(園児情報!$A$1,4,5,70,1)="ぞう")))</f>
        <v/>
      </c>
      <c r="AF18" s="93"/>
      <c r="AG18" s="93" t="str">
        <f ca="1">IF(AG6="","",SUMPRODUCT((OFFSET(園児情報!$A$1,4,1,70,1)&lt;=AG6)*(OFFSET(園児情報!$A$1,4,2,70,1)&gt;=AG6)*(OFFSET(園児情報!$A$1,4,5,70,1)="ぞう")))</f>
        <v/>
      </c>
      <c r="AH18" s="93"/>
      <c r="AI18" s="93" t="str">
        <f ca="1">IF(AI6="","",SUMPRODUCT((OFFSET(園児情報!$A$1,4,1,70,1)&lt;=AI6)*(OFFSET(園児情報!$A$1,4,2,70,1)&gt;=AI6)*(OFFSET(園児情報!$A$1,4,5,70,1)="ぞう")))</f>
        <v/>
      </c>
      <c r="AJ18" s="93"/>
      <c r="AK18" s="93" t="str">
        <f ca="1">IF(AK6="","",SUMPRODUCT((OFFSET(園児情報!$A$1,4,1,70,1)&lt;=AK6)*(OFFSET(園児情報!$A$1,4,2,70,1)&gt;=AK6)*(OFFSET(園児情報!$A$1,4,5,70,1)="ぞう")))</f>
        <v/>
      </c>
      <c r="AL18" s="93"/>
      <c r="AM18" s="93" t="str">
        <f ca="1">IF(AM6="","",SUMPRODUCT((OFFSET(園児情報!$A$1,4,1,70,1)&lt;=AM6)*(OFFSET(園児情報!$A$1,4,2,70,1)&gt;=AM6)*(OFFSET(園児情報!$A$1,4,5,70,1)="ぞう")))</f>
        <v/>
      </c>
      <c r="AN18" s="93"/>
      <c r="AO18" s="93" t="str">
        <f ca="1">IF(AO6="","",SUMPRODUCT((OFFSET(園児情報!$A$1,4,1,70,1)&lt;=AO6)*(OFFSET(園児情報!$A$1,4,2,70,1)&gt;=AO6)*(OFFSET(園児情報!$A$1,4,5,70,1)="ぞう")))</f>
        <v/>
      </c>
      <c r="AP18" s="93"/>
      <c r="AQ18" s="93" t="str">
        <f ca="1">IF(AQ6="","",SUMPRODUCT((OFFSET(園児情報!$A$1,4,1,70,1)&lt;=AQ6)*(OFFSET(園児情報!$A$1,4,2,70,1)&gt;=AQ6)*(OFFSET(園児情報!$A$1,4,5,70,1)="ぞう")))</f>
        <v/>
      </c>
      <c r="AR18" s="93"/>
      <c r="AS18" s="93" t="str">
        <f ca="1">IF(AS6="","",SUMPRODUCT((OFFSET(園児情報!$A$1,4,1,70,1)&lt;=AS6)*(OFFSET(園児情報!$A$1,4,2,70,1)&gt;=AS6)*(OFFSET(園児情報!$A$1,4,5,70,1)="ぞう")))</f>
        <v/>
      </c>
      <c r="AT18" s="93"/>
      <c r="AU18" s="93" t="str">
        <f ca="1">IF(AU6="","",SUMPRODUCT((OFFSET(園児情報!$A$1,4,1,70,1)&lt;=AU6)*(OFFSET(園児情報!$A$1,4,2,70,1)&gt;=AU6)*(OFFSET(園児情報!$A$1,4,5,70,1)="ぞう")))</f>
        <v/>
      </c>
      <c r="AV18" s="93"/>
    </row>
    <row r="19" spans="2:48">
      <c r="B19" s="56" t="str">
        <f ca="1">SUMPRODUCT(MAX($C$18:$AV$18))&amp;"名"</f>
        <v>1名</v>
      </c>
      <c r="C19" s="93"/>
      <c r="D19" s="93"/>
      <c r="E19" s="93"/>
      <c r="F19" s="93"/>
      <c r="G19" s="93"/>
      <c r="H19" s="93"/>
      <c r="I19" s="93"/>
      <c r="J19" s="93"/>
      <c r="K19" s="93"/>
      <c r="L19" s="93"/>
      <c r="M19" s="93"/>
      <c r="N19" s="93"/>
      <c r="O19" s="93"/>
      <c r="P19" s="93"/>
      <c r="Q19" s="93"/>
      <c r="R19" s="93"/>
      <c r="S19" s="93"/>
      <c r="T19" s="93"/>
      <c r="U19" s="93"/>
      <c r="V19" s="93"/>
      <c r="W19" s="93"/>
      <c r="X19" s="93"/>
      <c r="Y19" s="93"/>
      <c r="Z19" s="93"/>
      <c r="AA19" s="93"/>
      <c r="AB19" s="93"/>
      <c r="AC19" s="93"/>
      <c r="AD19" s="93"/>
      <c r="AE19" s="93"/>
      <c r="AF19" s="93"/>
      <c r="AG19" s="93"/>
      <c r="AH19" s="93"/>
      <c r="AI19" s="93"/>
      <c r="AJ19" s="93"/>
      <c r="AK19" s="93"/>
      <c r="AL19" s="93"/>
      <c r="AM19" s="93"/>
      <c r="AN19" s="93"/>
      <c r="AO19" s="93"/>
      <c r="AP19" s="93"/>
      <c r="AQ19" s="93"/>
      <c r="AR19" s="93"/>
      <c r="AS19" s="93"/>
      <c r="AT19" s="93"/>
      <c r="AU19" s="93"/>
      <c r="AV19" s="93"/>
    </row>
    <row r="20" spans="2:48">
      <c r="B20" s="56" t="s">
        <v>59</v>
      </c>
      <c r="C20" s="93">
        <f ca="1">IF(C18="","",ROUNDUP(C18/15,0))</f>
        <v>0</v>
      </c>
      <c r="D20" s="93"/>
      <c r="E20" s="93">
        <f ca="1">IF(E18="","",ROUNDUP(E18/15,0))</f>
        <v>0</v>
      </c>
      <c r="F20" s="93"/>
      <c r="G20" s="93">
        <f t="shared" ref="G20" ca="1" si="63">IF(G18="","",ROUNDUP(G18/15,0))</f>
        <v>0</v>
      </c>
      <c r="H20" s="93"/>
      <c r="I20" s="93">
        <f t="shared" ref="I20" ca="1" si="64">IF(I18="","",ROUNDUP(I18/15,0))</f>
        <v>0</v>
      </c>
      <c r="J20" s="93"/>
      <c r="K20" s="93">
        <f t="shared" ref="K20" ca="1" si="65">IF(K18="","",ROUNDUP(K18/15,0))</f>
        <v>0</v>
      </c>
      <c r="L20" s="93"/>
      <c r="M20" s="93">
        <f t="shared" ref="M20" ca="1" si="66">IF(M18="","",ROUNDUP(M18/15,0))</f>
        <v>0</v>
      </c>
      <c r="N20" s="93"/>
      <c r="O20" s="93">
        <f t="shared" ref="O20" ca="1" si="67">IF(O18="","",ROUNDUP(O18/15,0))</f>
        <v>1</v>
      </c>
      <c r="P20" s="93"/>
      <c r="Q20" s="93">
        <f t="shared" ref="Q20" ca="1" si="68">IF(Q18="","",ROUNDUP(Q18/15,0))</f>
        <v>1</v>
      </c>
      <c r="R20" s="93"/>
      <c r="S20" s="93">
        <f t="shared" ref="S20" ca="1" si="69">IF(S18="","",ROUNDUP(S18/15,0))</f>
        <v>1</v>
      </c>
      <c r="T20" s="93"/>
      <c r="U20" s="93">
        <f t="shared" ref="U20" ca="1" si="70">IF(U18="","",ROUNDUP(U18/15,0))</f>
        <v>1</v>
      </c>
      <c r="V20" s="93"/>
      <c r="W20" s="93">
        <f t="shared" ref="W20" ca="1" si="71">IF(W18="","",ROUNDUP(W18/15,0))</f>
        <v>1</v>
      </c>
      <c r="X20" s="93"/>
      <c r="Y20" s="93">
        <f t="shared" ref="Y20" ca="1" si="72">IF(Y18="","",ROUNDUP(Y18/15,0))</f>
        <v>1</v>
      </c>
      <c r="Z20" s="93"/>
      <c r="AA20" s="93">
        <f t="shared" ref="AA20" ca="1" si="73">IF(AA18="","",ROUNDUP(AA18/15,0))</f>
        <v>0</v>
      </c>
      <c r="AB20" s="93"/>
      <c r="AC20" s="93" t="str">
        <f t="shared" ref="AC20" ca="1" si="74">IF(AC18="","",ROUNDUP(AC18/15,0))</f>
        <v/>
      </c>
      <c r="AD20" s="93"/>
      <c r="AE20" s="93" t="str">
        <f t="shared" ref="AE20" ca="1" si="75">IF(AE18="","",ROUNDUP(AE18/15,0))</f>
        <v/>
      </c>
      <c r="AF20" s="93"/>
      <c r="AG20" s="93" t="str">
        <f t="shared" ref="AG20" ca="1" si="76">IF(AG18="","",ROUNDUP(AG18/15,0))</f>
        <v/>
      </c>
      <c r="AH20" s="93"/>
      <c r="AI20" s="93" t="str">
        <f t="shared" ref="AI20" ca="1" si="77">IF(AI18="","",ROUNDUP(AI18/15,0))</f>
        <v/>
      </c>
      <c r="AJ20" s="93"/>
      <c r="AK20" s="93" t="str">
        <f t="shared" ref="AK20" ca="1" si="78">IF(AK18="","",ROUNDUP(AK18/15,0))</f>
        <v/>
      </c>
      <c r="AL20" s="93"/>
      <c r="AM20" s="93" t="str">
        <f t="shared" ref="AM20" ca="1" si="79">IF(AM18="","",ROUNDUP(AM18/15,0))</f>
        <v/>
      </c>
      <c r="AN20" s="93"/>
      <c r="AO20" s="93" t="str">
        <f t="shared" ref="AO20" ca="1" si="80">IF(AO18="","",ROUNDUP(AO18/15,0))</f>
        <v/>
      </c>
      <c r="AP20" s="93"/>
      <c r="AQ20" s="93" t="str">
        <f t="shared" ref="AQ20" ca="1" si="81">IF(AQ18="","",ROUNDUP(AQ18/15,0))</f>
        <v/>
      </c>
      <c r="AR20" s="93"/>
      <c r="AS20" s="93" t="str">
        <f t="shared" ref="AS20" ca="1" si="82">IF(AS18="","",ROUNDUP(AS18/15,0))</f>
        <v/>
      </c>
      <c r="AT20" s="93"/>
      <c r="AU20" s="93" t="str">
        <f t="shared" ref="AU20" ca="1" si="83">IF(AU18="","",ROUNDUP(AU18/15,0))</f>
        <v/>
      </c>
      <c r="AV20" s="93"/>
    </row>
    <row r="21" spans="2:48">
      <c r="B21" s="23" t="s">
        <v>61</v>
      </c>
      <c r="C21" s="94">
        <f ca="1">IF(C6="","",SUMPRODUCT((OFFSET(園児情報!$A$1,4,1,70,1)&lt;=C6)*(OFFSET(園児情報!$A$1,4,2,70,1)&gt;=C6)*(OFFSET(園児情報!$A$1,4,5,70,1)="くじら")))</f>
        <v>0</v>
      </c>
      <c r="D21" s="94"/>
      <c r="E21" s="94">
        <f ca="1">IF(E6="","",SUMPRODUCT((OFFSET(園児情報!$A$1,4,1,70,1)&lt;=E6)*(OFFSET(園児情報!$A$1,4,2,70,1)&gt;=E6)*(OFFSET(園児情報!$A$1,4,5,70,1)="くじら")))</f>
        <v>0</v>
      </c>
      <c r="F21" s="94"/>
      <c r="G21" s="94">
        <f ca="1">IF(G6="","",SUMPRODUCT((OFFSET(園児情報!$A$1,4,1,70,1)&lt;=G6)*(OFFSET(園児情報!$A$1,4,2,70,1)&gt;=G6)*(OFFSET(園児情報!$A$1,4,5,70,1)="くじら")))</f>
        <v>1</v>
      </c>
      <c r="H21" s="94"/>
      <c r="I21" s="94">
        <f ca="1">IF(I6="","",SUMPRODUCT((OFFSET(園児情報!$A$1,4,1,70,1)&lt;=I6)*(OFFSET(園児情報!$A$1,4,2,70,1)&gt;=I6)*(OFFSET(園児情報!$A$1,4,5,70,1)="くじら")))</f>
        <v>1</v>
      </c>
      <c r="J21" s="94"/>
      <c r="K21" s="94">
        <f ca="1">IF(K6="","",SUMPRODUCT((OFFSET(園児情報!$A$1,4,1,70,1)&lt;=K6)*(OFFSET(園児情報!$A$1,4,2,70,1)&gt;=K6)*(OFFSET(園児情報!$A$1,4,5,70,1)="くじら")))</f>
        <v>1</v>
      </c>
      <c r="L21" s="94"/>
      <c r="M21" s="94">
        <f ca="1">IF(M6="","",SUMPRODUCT((OFFSET(園児情報!$A$1,4,1,70,1)&lt;=M6)*(OFFSET(園児情報!$A$1,4,2,70,1)&gt;=M6)*(OFFSET(園児情報!$A$1,4,5,70,1)="くじら")))</f>
        <v>1</v>
      </c>
      <c r="N21" s="94"/>
      <c r="O21" s="94">
        <f ca="1">IF(O6="","",SUMPRODUCT((OFFSET(園児情報!$A$1,4,1,70,1)&lt;=O6)*(OFFSET(園児情報!$A$1,4,2,70,1)&gt;=O6)*(OFFSET(園児情報!$A$1,4,5,70,1)="くじら")))</f>
        <v>1</v>
      </c>
      <c r="P21" s="94"/>
      <c r="Q21" s="94">
        <f ca="1">IF(Q6="","",SUMPRODUCT((OFFSET(園児情報!$A$1,4,1,70,1)&lt;=Q6)*(OFFSET(園児情報!$A$1,4,2,70,1)&gt;=Q6)*(OFFSET(園児情報!$A$1,4,5,70,1)="くじら")))</f>
        <v>1</v>
      </c>
      <c r="R21" s="94"/>
      <c r="S21" s="94">
        <f ca="1">IF(S6="","",SUMPRODUCT((OFFSET(園児情報!$A$1,4,1,70,1)&lt;=S6)*(OFFSET(園児情報!$A$1,4,2,70,1)&gt;=S6)*(OFFSET(園児情報!$A$1,4,5,70,1)="くじら")))</f>
        <v>1</v>
      </c>
      <c r="T21" s="94"/>
      <c r="U21" s="94">
        <f ca="1">IF(U6="","",SUMPRODUCT((OFFSET(園児情報!$A$1,4,1,70,1)&lt;=U6)*(OFFSET(園児情報!$A$1,4,2,70,1)&gt;=U6)*(OFFSET(園児情報!$A$1,4,5,70,1)="くじら")))</f>
        <v>1</v>
      </c>
      <c r="V21" s="94"/>
      <c r="W21" s="94">
        <f ca="1">IF(W6="","",SUMPRODUCT((OFFSET(園児情報!$A$1,4,1,70,1)&lt;=W6)*(OFFSET(園児情報!$A$1,4,2,70,1)&gt;=W6)*(OFFSET(園児情報!$A$1,4,5,70,1)="くじら")))</f>
        <v>0</v>
      </c>
      <c r="X21" s="94"/>
      <c r="Y21" s="94">
        <f ca="1">IF(Y6="","",SUMPRODUCT((OFFSET(園児情報!$A$1,4,1,70,1)&lt;=Y6)*(OFFSET(園児情報!$A$1,4,2,70,1)&gt;=Y6)*(OFFSET(園児情報!$A$1,4,5,70,1)="くじら")))</f>
        <v>0</v>
      </c>
      <c r="Z21" s="94"/>
      <c r="AA21" s="94">
        <f ca="1">IF(AA6="","",SUMPRODUCT((OFFSET(園児情報!$A$1,4,1,70,1)&lt;=AA6)*(OFFSET(園児情報!$A$1,4,2,70,1)&gt;=AA6)*(OFFSET(園児情報!$A$1,4,5,70,1)="くじら")))</f>
        <v>0</v>
      </c>
      <c r="AB21" s="94"/>
      <c r="AC21" s="94" t="str">
        <f ca="1">IF(AC6="","",SUMPRODUCT((OFFSET(園児情報!$A$1,4,1,70,1)&lt;=AC6)*(OFFSET(園児情報!$A$1,4,2,70,1)&gt;=AC6)*(OFFSET(園児情報!$A$1,4,5,70,1)="くじら")))</f>
        <v/>
      </c>
      <c r="AD21" s="94"/>
      <c r="AE21" s="94" t="str">
        <f ca="1">IF(AE6="","",SUMPRODUCT((OFFSET(園児情報!$A$1,4,1,70,1)&lt;=AE6)*(OFFSET(園児情報!$A$1,4,2,70,1)&gt;=AE6)*(OFFSET(園児情報!$A$1,4,5,70,1)="くじら")))</f>
        <v/>
      </c>
      <c r="AF21" s="94"/>
      <c r="AG21" s="94" t="str">
        <f ca="1">IF(AG6="","",SUMPRODUCT((OFFSET(園児情報!$A$1,4,1,70,1)&lt;=AG6)*(OFFSET(園児情報!$A$1,4,2,70,1)&gt;=AG6)*(OFFSET(園児情報!$A$1,4,5,70,1)="くじら")))</f>
        <v/>
      </c>
      <c r="AH21" s="94"/>
      <c r="AI21" s="94" t="str">
        <f ca="1">IF(AI6="","",SUMPRODUCT((OFFSET(園児情報!$A$1,4,1,70,1)&lt;=AI6)*(OFFSET(園児情報!$A$1,4,2,70,1)&gt;=AI6)*(OFFSET(園児情報!$A$1,4,5,70,1)="くじら")))</f>
        <v/>
      </c>
      <c r="AJ21" s="94"/>
      <c r="AK21" s="94" t="str">
        <f ca="1">IF(AK6="","",SUMPRODUCT((OFFSET(園児情報!$A$1,4,1,70,1)&lt;=AK6)*(OFFSET(園児情報!$A$1,4,2,70,1)&gt;=AK6)*(OFFSET(園児情報!$A$1,4,5,70,1)="くじら")))</f>
        <v/>
      </c>
      <c r="AL21" s="94"/>
      <c r="AM21" s="94" t="str">
        <f ca="1">IF(AM6="","",SUMPRODUCT((OFFSET(園児情報!$A$1,4,1,70,1)&lt;=AM6)*(OFFSET(園児情報!$A$1,4,2,70,1)&gt;=AM6)*(OFFSET(園児情報!$A$1,4,5,70,1)="くじら")))</f>
        <v/>
      </c>
      <c r="AN21" s="94"/>
      <c r="AO21" s="94" t="str">
        <f ca="1">IF(AO6="","",SUMPRODUCT((OFFSET(園児情報!$A$1,4,1,70,1)&lt;=AO6)*(OFFSET(園児情報!$A$1,4,2,70,1)&gt;=AO6)*(OFFSET(園児情報!$A$1,4,5,70,1)="くじら")))</f>
        <v/>
      </c>
      <c r="AP21" s="94"/>
      <c r="AQ21" s="94" t="str">
        <f ca="1">IF(AQ6="","",SUMPRODUCT((OFFSET(園児情報!$A$1,4,1,70,1)&lt;=AQ6)*(OFFSET(園児情報!$A$1,4,2,70,1)&gt;=AQ6)*(OFFSET(園児情報!$A$1,4,5,70,1)="くじら")))</f>
        <v/>
      </c>
      <c r="AR21" s="94"/>
      <c r="AS21" s="94" t="str">
        <f ca="1">IF(AS6="","",SUMPRODUCT((OFFSET(園児情報!$A$1,4,1,70,1)&lt;=AS6)*(OFFSET(園児情報!$A$1,4,2,70,1)&gt;=AS6)*(OFFSET(園児情報!$A$1,4,5,70,1)="くじら")))</f>
        <v/>
      </c>
      <c r="AT21" s="94"/>
      <c r="AU21" s="94" t="str">
        <f ca="1">IF(AU6="","",SUMPRODUCT((OFFSET(園児情報!$A$1,4,1,70,1)&lt;=AU6)*(OFFSET(園児情報!$A$1,4,2,70,1)&gt;=AU6)*(OFFSET(園児情報!$A$1,4,5,70,1)="くじら")))</f>
        <v/>
      </c>
      <c r="AV21" s="94"/>
    </row>
    <row r="22" spans="2:48">
      <c r="B22" s="56" t="str">
        <f ca="1">SUMPRODUCT(MAX($C$19:$AV$21))&amp;"名"</f>
        <v>1名</v>
      </c>
      <c r="C22" s="94"/>
      <c r="D22" s="94"/>
      <c r="E22" s="94"/>
      <c r="F22" s="94"/>
      <c r="G22" s="94"/>
      <c r="H22" s="94"/>
      <c r="I22" s="94"/>
      <c r="J22" s="94"/>
      <c r="K22" s="94"/>
      <c r="L22" s="94"/>
      <c r="M22" s="94"/>
      <c r="N22" s="94"/>
      <c r="O22" s="94"/>
      <c r="P22" s="94"/>
      <c r="Q22" s="94"/>
      <c r="R22" s="94"/>
      <c r="S22" s="94"/>
      <c r="T22" s="94"/>
      <c r="U22" s="94"/>
      <c r="V22" s="94"/>
      <c r="W22" s="94"/>
      <c r="X22" s="94"/>
      <c r="Y22" s="94"/>
      <c r="Z22" s="94"/>
      <c r="AA22" s="94"/>
      <c r="AB22" s="94"/>
      <c r="AC22" s="94"/>
      <c r="AD22" s="94"/>
      <c r="AE22" s="94"/>
      <c r="AF22" s="94"/>
      <c r="AG22" s="94"/>
      <c r="AH22" s="94"/>
      <c r="AI22" s="94"/>
      <c r="AJ22" s="94"/>
      <c r="AK22" s="94"/>
      <c r="AL22" s="94"/>
      <c r="AM22" s="94"/>
      <c r="AN22" s="94"/>
      <c r="AO22" s="94"/>
      <c r="AP22" s="94"/>
      <c r="AQ22" s="94"/>
      <c r="AR22" s="94"/>
      <c r="AS22" s="94"/>
      <c r="AT22" s="94"/>
      <c r="AU22" s="94"/>
      <c r="AV22" s="94"/>
    </row>
    <row r="23" spans="2:48">
      <c r="B23" s="56" t="s">
        <v>59</v>
      </c>
      <c r="C23" s="93">
        <f ca="1">IF(C21="","",ROUNDUP(C21/20,0))</f>
        <v>0</v>
      </c>
      <c r="D23" s="93"/>
      <c r="E23" s="93">
        <f ca="1">IF(E21="","",ROUNDUP(E21/20,0))</f>
        <v>0</v>
      </c>
      <c r="F23" s="93"/>
      <c r="G23" s="93">
        <f t="shared" ref="G23" ca="1" si="84">IF(G21="","",ROUNDUP(G21/20,0))</f>
        <v>1</v>
      </c>
      <c r="H23" s="93"/>
      <c r="I23" s="93">
        <f t="shared" ref="I23" ca="1" si="85">IF(I21="","",ROUNDUP(I21/20,0))</f>
        <v>1</v>
      </c>
      <c r="J23" s="93"/>
      <c r="K23" s="93">
        <f t="shared" ref="K23" ca="1" si="86">IF(K21="","",ROUNDUP(K21/20,0))</f>
        <v>1</v>
      </c>
      <c r="L23" s="93"/>
      <c r="M23" s="93">
        <f t="shared" ref="M23" ca="1" si="87">IF(M21="","",ROUNDUP(M21/20,0))</f>
        <v>1</v>
      </c>
      <c r="N23" s="93"/>
      <c r="O23" s="93">
        <f t="shared" ref="O23" ca="1" si="88">IF(O21="","",ROUNDUP(O21/20,0))</f>
        <v>1</v>
      </c>
      <c r="P23" s="93"/>
      <c r="Q23" s="93">
        <f t="shared" ref="Q23" ca="1" si="89">IF(Q21="","",ROUNDUP(Q21/20,0))</f>
        <v>1</v>
      </c>
      <c r="R23" s="93"/>
      <c r="S23" s="93">
        <f t="shared" ref="S23" ca="1" si="90">IF(S21="","",ROUNDUP(S21/20,0))</f>
        <v>1</v>
      </c>
      <c r="T23" s="93"/>
      <c r="U23" s="93">
        <f t="shared" ref="U23" ca="1" si="91">IF(U21="","",ROUNDUP(U21/20,0))</f>
        <v>1</v>
      </c>
      <c r="V23" s="93"/>
      <c r="W23" s="93">
        <f t="shared" ref="W23" ca="1" si="92">IF(W21="","",ROUNDUP(W21/20,0))</f>
        <v>0</v>
      </c>
      <c r="X23" s="93"/>
      <c r="Y23" s="93">
        <f t="shared" ref="Y23" ca="1" si="93">IF(Y21="","",ROUNDUP(Y21/20,0))</f>
        <v>0</v>
      </c>
      <c r="Z23" s="93"/>
      <c r="AA23" s="93">
        <f t="shared" ref="AA23" ca="1" si="94">IF(AA21="","",ROUNDUP(AA21/20,0))</f>
        <v>0</v>
      </c>
      <c r="AB23" s="93"/>
      <c r="AC23" s="93" t="str">
        <f t="shared" ref="AC23" ca="1" si="95">IF(AC21="","",ROUNDUP(AC21/20,0))</f>
        <v/>
      </c>
      <c r="AD23" s="93"/>
      <c r="AE23" s="93" t="str">
        <f t="shared" ref="AE23" ca="1" si="96">IF(AE21="","",ROUNDUP(AE21/20,0))</f>
        <v/>
      </c>
      <c r="AF23" s="93"/>
      <c r="AG23" s="93" t="str">
        <f t="shared" ref="AG23" ca="1" si="97">IF(AG21="","",ROUNDUP(AG21/20,0))</f>
        <v/>
      </c>
      <c r="AH23" s="93"/>
      <c r="AI23" s="93" t="str">
        <f t="shared" ref="AI23" ca="1" si="98">IF(AI21="","",ROUNDUP(AI21/20,0))</f>
        <v/>
      </c>
      <c r="AJ23" s="93"/>
      <c r="AK23" s="93" t="str">
        <f t="shared" ref="AK23" ca="1" si="99">IF(AK21="","",ROUNDUP(AK21/20,0))</f>
        <v/>
      </c>
      <c r="AL23" s="93"/>
      <c r="AM23" s="93" t="str">
        <f t="shared" ref="AM23" ca="1" si="100">IF(AM21="","",ROUNDUP(AM21/20,0))</f>
        <v/>
      </c>
      <c r="AN23" s="93"/>
      <c r="AO23" s="93" t="str">
        <f t="shared" ref="AO23" ca="1" si="101">IF(AO21="","",ROUNDUP(AO21/20,0))</f>
        <v/>
      </c>
      <c r="AP23" s="93"/>
      <c r="AQ23" s="93" t="str">
        <f t="shared" ref="AQ23" ca="1" si="102">IF(AQ21="","",ROUNDUP(AQ21/20,0))</f>
        <v/>
      </c>
      <c r="AR23" s="93"/>
      <c r="AS23" s="93" t="str">
        <f t="shared" ref="AS23" ca="1" si="103">IF(AS21="","",ROUNDUP(AS21/20,0))</f>
        <v/>
      </c>
      <c r="AT23" s="93"/>
      <c r="AU23" s="93" t="str">
        <f t="shared" ref="AU23" ca="1" si="104">IF(AU21="","",ROUNDUP(AU21/20,0))</f>
        <v/>
      </c>
      <c r="AV23" s="93"/>
    </row>
    <row r="24" spans="2:48">
      <c r="B24" s="23" t="s">
        <v>60</v>
      </c>
      <c r="C24" s="94">
        <f ca="1">IF(C6="","",SUMPRODUCT((OFFSET(園児情報!$A$1,4,1,70,1)&lt;=C6)*(OFFSET(園児情報!$A$1,4,2,70,1)&gt;=C6)*(OFFSET(園児情報!$A$1,4,5,70,1)="いるか")))</f>
        <v>0</v>
      </c>
      <c r="D24" s="94"/>
      <c r="E24" s="94">
        <f ca="1">IF(E6="","",SUMPRODUCT((OFFSET(園児情報!$A$1,4,1,70,1)&lt;=E6)*(OFFSET(園児情報!$A$1,4,2,70,1)&gt;=E6)*(OFFSET(園児情報!$A$1,4,5,70,1)="いるか")))</f>
        <v>0</v>
      </c>
      <c r="F24" s="94"/>
      <c r="G24" s="94">
        <f ca="1">IF(G6="","",SUMPRODUCT((OFFSET(園児情報!$A$1,4,1,70,1)&lt;=G6)*(OFFSET(園児情報!$A$1,4,2,70,1)&gt;=G6)*(OFFSET(園児情報!$A$1,4,5,70,1)="いるか")))</f>
        <v>0</v>
      </c>
      <c r="H24" s="94"/>
      <c r="I24" s="94">
        <f ca="1">IF(I6="","",SUMPRODUCT((OFFSET(園児情報!$A$1,4,1,70,1)&lt;=I6)*(OFFSET(園児情報!$A$1,4,2,70,1)&gt;=I6)*(OFFSET(園児情報!$A$1,4,5,70,1)="いるか")))</f>
        <v>0</v>
      </c>
      <c r="J24" s="94"/>
      <c r="K24" s="94">
        <f ca="1">IF(K6="","",SUMPRODUCT((OFFSET(園児情報!$A$1,4,1,70,1)&lt;=K6)*(OFFSET(園児情報!$A$1,4,2,70,1)&gt;=K6)*(OFFSET(園児情報!$A$1,4,5,70,1)="いるか")))</f>
        <v>0</v>
      </c>
      <c r="L24" s="94"/>
      <c r="M24" s="94">
        <f ca="1">IF(M6="","",SUMPRODUCT((OFFSET(園児情報!$A$1,4,1,70,1)&lt;=M6)*(OFFSET(園児情報!$A$1,4,2,70,1)&gt;=M6)*(OFFSET(園児情報!$A$1,4,5,70,1)="いるか")))</f>
        <v>0</v>
      </c>
      <c r="N24" s="94"/>
      <c r="O24" s="94">
        <f ca="1">IF(O6="","",SUMPRODUCT((OFFSET(園児情報!$A$1,4,1,70,1)&lt;=O6)*(OFFSET(園児情報!$A$1,4,2,70,1)&gt;=O6)*(OFFSET(園児情報!$A$1,4,5,70,1)="いるか")))</f>
        <v>0</v>
      </c>
      <c r="P24" s="94"/>
      <c r="Q24" s="94">
        <f ca="1">IF(Q6="","",SUMPRODUCT((OFFSET(園児情報!$A$1,4,1,70,1)&lt;=Q6)*(OFFSET(園児情報!$A$1,4,2,70,1)&gt;=Q6)*(OFFSET(園児情報!$A$1,4,5,70,1)="いるか")))</f>
        <v>0</v>
      </c>
      <c r="R24" s="94"/>
      <c r="S24" s="94">
        <f ca="1">IF(S6="","",SUMPRODUCT((OFFSET(園児情報!$A$1,4,1,70,1)&lt;=S6)*(OFFSET(園児情報!$A$1,4,2,70,1)&gt;=S6)*(OFFSET(園児情報!$A$1,4,5,70,1)="いるか")))</f>
        <v>0</v>
      </c>
      <c r="T24" s="94"/>
      <c r="U24" s="94">
        <f ca="1">IF(U6="","",SUMPRODUCT((OFFSET(園児情報!$A$1,4,1,70,1)&lt;=U6)*(OFFSET(園児情報!$A$1,4,2,70,1)&gt;=U6)*(OFFSET(園児情報!$A$1,4,5,70,1)="いるか")))</f>
        <v>0</v>
      </c>
      <c r="V24" s="94"/>
      <c r="W24" s="94">
        <f ca="1">IF(W6="","",SUMPRODUCT((OFFSET(園児情報!$A$1,4,1,70,1)&lt;=W6)*(OFFSET(園児情報!$A$1,4,2,70,1)&gt;=W6)*(OFFSET(園児情報!$A$1,4,5,70,1)="いるか")))</f>
        <v>0</v>
      </c>
      <c r="X24" s="94"/>
      <c r="Y24" s="94">
        <f ca="1">IF(Y6="","",SUMPRODUCT((OFFSET(園児情報!$A$1,4,1,70,1)&lt;=Y6)*(OFFSET(園児情報!$A$1,4,2,70,1)&gt;=Y6)*(OFFSET(園児情報!$A$1,4,5,70,1)="いるか")))</f>
        <v>0</v>
      </c>
      <c r="Z24" s="94"/>
      <c r="AA24" s="94">
        <f ca="1">IF(AA6="","",SUMPRODUCT((OFFSET(園児情報!$A$1,4,1,70,1)&lt;=AA6)*(OFFSET(園児情報!$A$1,4,2,70,1)&gt;=AA6)*(OFFSET(園児情報!$A$1,4,5,70,1)="いるか")))</f>
        <v>0</v>
      </c>
      <c r="AB24" s="94"/>
      <c r="AC24" s="94" t="str">
        <f ca="1">IF(AC6="","",SUMPRODUCT((OFFSET(園児情報!$A$1,4,1,70,1)&lt;=AC6)*(OFFSET(園児情報!$A$1,4,2,70,1)&gt;=AC6)*(OFFSET(園児情報!$A$1,4,5,70,1)="いるか")))</f>
        <v/>
      </c>
      <c r="AD24" s="94"/>
      <c r="AE24" s="94" t="str">
        <f ca="1">IF(AE6="","",SUMPRODUCT((OFFSET(園児情報!$A$1,4,1,70,1)&lt;=AE6)*(OFFSET(園児情報!$A$1,4,2,70,1)&gt;=AE6)*(OFFSET(園児情報!$A$1,4,5,70,1)="いるか")))</f>
        <v/>
      </c>
      <c r="AF24" s="94"/>
      <c r="AG24" s="94" t="str">
        <f ca="1">IF(AG6="","",SUMPRODUCT((OFFSET(園児情報!$A$1,4,1,70,1)&lt;=AG6)*(OFFSET(園児情報!$A$1,4,2,70,1)&gt;=AG6)*(OFFSET(園児情報!$A$1,4,5,70,1)="いるか")))</f>
        <v/>
      </c>
      <c r="AH24" s="94"/>
      <c r="AI24" s="94" t="str">
        <f ca="1">IF(AI6="","",SUMPRODUCT((OFFSET(園児情報!$A$1,4,1,70,1)&lt;=AI6)*(OFFSET(園児情報!$A$1,4,2,70,1)&gt;=AI6)*(OFFSET(園児情報!$A$1,4,5,70,1)="いるか")))</f>
        <v/>
      </c>
      <c r="AJ24" s="94"/>
      <c r="AK24" s="94" t="str">
        <f ca="1">IF(AK6="","",SUMPRODUCT((OFFSET(園児情報!$A$1,4,1,70,1)&lt;=AK6)*(OFFSET(園児情報!$A$1,4,2,70,1)&gt;=AK6)*(OFFSET(園児情報!$A$1,4,5,70,1)="いるか")))</f>
        <v/>
      </c>
      <c r="AL24" s="94"/>
      <c r="AM24" s="94" t="str">
        <f ca="1">IF(AM6="","",SUMPRODUCT((OFFSET(園児情報!$A$1,4,1,70,1)&lt;=AM6)*(OFFSET(園児情報!$A$1,4,2,70,1)&gt;=AM6)*(OFFSET(園児情報!$A$1,4,5,70,1)="いるか")))</f>
        <v/>
      </c>
      <c r="AN24" s="94"/>
      <c r="AO24" s="94" t="str">
        <f ca="1">IF(AO6="","",SUMPRODUCT((OFFSET(園児情報!$A$1,4,1,70,1)&lt;=AO6)*(OFFSET(園児情報!$A$1,4,2,70,1)&gt;=AO6)*(OFFSET(園児情報!$A$1,4,5,70,1)="いるか")))</f>
        <v/>
      </c>
      <c r="AP24" s="94"/>
      <c r="AQ24" s="94" t="str">
        <f ca="1">IF(AQ6="","",SUMPRODUCT((OFFSET(園児情報!$A$1,4,1,70,1)&lt;=AQ6)*(OFFSET(園児情報!$A$1,4,2,70,1)&gt;=AQ6)*(OFFSET(園児情報!$A$1,4,5,70,1)="いるか")))</f>
        <v/>
      </c>
      <c r="AR24" s="94"/>
      <c r="AS24" s="94" t="str">
        <f ca="1">IF(AS6="","",SUMPRODUCT((OFFSET(園児情報!$A$1,4,1,70,1)&lt;=AS6)*(OFFSET(園児情報!$A$1,4,2,70,1)&gt;=AS6)*(OFFSET(園児情報!$A$1,4,5,70,1)="いるか")))</f>
        <v/>
      </c>
      <c r="AT24" s="94"/>
      <c r="AU24" s="94" t="str">
        <f ca="1">IF(AU6="","",SUMPRODUCT((OFFSET(園児情報!$A$1,4,1,70,1)&lt;=AU6)*(OFFSET(園児情報!$A$1,4,2,70,1)&gt;=AU6)*(OFFSET(園児情報!$A$1,4,5,70,1)="いるか")))</f>
        <v/>
      </c>
      <c r="AV24" s="94"/>
    </row>
    <row r="25" spans="2:48">
      <c r="B25" s="56" t="str">
        <f ca="1">SUMPRODUCT(MAX($C$22:$AV$24))&amp;"名"</f>
        <v>1名</v>
      </c>
      <c r="C25" s="94"/>
      <c r="D25" s="94"/>
      <c r="E25" s="94"/>
      <c r="F25" s="94"/>
      <c r="G25" s="94"/>
      <c r="H25" s="94"/>
      <c r="I25" s="94"/>
      <c r="J25" s="94"/>
      <c r="K25" s="94"/>
      <c r="L25" s="94"/>
      <c r="M25" s="94"/>
      <c r="N25" s="94"/>
      <c r="O25" s="94"/>
      <c r="P25" s="94"/>
      <c r="Q25" s="94"/>
      <c r="R25" s="94"/>
      <c r="S25" s="94"/>
      <c r="T25" s="94"/>
      <c r="U25" s="94"/>
      <c r="V25" s="94"/>
      <c r="W25" s="94"/>
      <c r="X25" s="94"/>
      <c r="Y25" s="94"/>
      <c r="Z25" s="94"/>
      <c r="AA25" s="94"/>
      <c r="AB25" s="94"/>
      <c r="AC25" s="94"/>
      <c r="AD25" s="94"/>
      <c r="AE25" s="94"/>
      <c r="AF25" s="94"/>
      <c r="AG25" s="94"/>
      <c r="AH25" s="94"/>
      <c r="AI25" s="94"/>
      <c r="AJ25" s="94"/>
      <c r="AK25" s="94"/>
      <c r="AL25" s="94"/>
      <c r="AM25" s="94"/>
      <c r="AN25" s="94"/>
      <c r="AO25" s="94"/>
      <c r="AP25" s="94"/>
      <c r="AQ25" s="94"/>
      <c r="AR25" s="94"/>
      <c r="AS25" s="94"/>
      <c r="AT25" s="94"/>
      <c r="AU25" s="94"/>
      <c r="AV25" s="94"/>
    </row>
    <row r="26" spans="2:48">
      <c r="B26" s="56" t="s">
        <v>59</v>
      </c>
      <c r="C26" s="93">
        <f ca="1">IF(C24="","",ROUNDUP(C24/20,0))</f>
        <v>0</v>
      </c>
      <c r="D26" s="93"/>
      <c r="E26" s="93">
        <f ca="1">IF(E24="","",ROUNDUP(E24/20,0))</f>
        <v>0</v>
      </c>
      <c r="F26" s="93"/>
      <c r="G26" s="93">
        <f t="shared" ref="G26" ca="1" si="105">IF(G24="","",ROUNDUP(G24/20,0))</f>
        <v>0</v>
      </c>
      <c r="H26" s="93"/>
      <c r="I26" s="93">
        <f t="shared" ref="I26" ca="1" si="106">IF(I24="","",ROUNDUP(I24/20,0))</f>
        <v>0</v>
      </c>
      <c r="J26" s="93"/>
      <c r="K26" s="93">
        <f t="shared" ref="K26" ca="1" si="107">IF(K24="","",ROUNDUP(K24/20,0))</f>
        <v>0</v>
      </c>
      <c r="L26" s="93"/>
      <c r="M26" s="93">
        <f t="shared" ref="M26" ca="1" si="108">IF(M24="","",ROUNDUP(M24/20,0))</f>
        <v>0</v>
      </c>
      <c r="N26" s="93"/>
      <c r="O26" s="93">
        <f t="shared" ref="O26" ca="1" si="109">IF(O24="","",ROUNDUP(O24/20,0))</f>
        <v>0</v>
      </c>
      <c r="P26" s="93"/>
      <c r="Q26" s="93">
        <f t="shared" ref="Q26" ca="1" si="110">IF(Q24="","",ROUNDUP(Q24/20,0))</f>
        <v>0</v>
      </c>
      <c r="R26" s="93"/>
      <c r="S26" s="93">
        <f t="shared" ref="S26" ca="1" si="111">IF(S24="","",ROUNDUP(S24/20,0))</f>
        <v>0</v>
      </c>
      <c r="T26" s="93"/>
      <c r="U26" s="93">
        <f t="shared" ref="U26" ca="1" si="112">IF(U24="","",ROUNDUP(U24/20,0))</f>
        <v>0</v>
      </c>
      <c r="V26" s="93"/>
      <c r="W26" s="93">
        <f t="shared" ref="W26" ca="1" si="113">IF(W24="","",ROUNDUP(W24/20,0))</f>
        <v>0</v>
      </c>
      <c r="X26" s="93"/>
      <c r="Y26" s="93">
        <f t="shared" ref="Y26" ca="1" si="114">IF(Y24="","",ROUNDUP(Y24/20,0))</f>
        <v>0</v>
      </c>
      <c r="Z26" s="93"/>
      <c r="AA26" s="93">
        <f t="shared" ref="AA26" ca="1" si="115">IF(AA24="","",ROUNDUP(AA24/20,0))</f>
        <v>0</v>
      </c>
      <c r="AB26" s="93"/>
      <c r="AC26" s="93" t="str">
        <f t="shared" ref="AC26" ca="1" si="116">IF(AC24="","",ROUNDUP(AC24/20,0))</f>
        <v/>
      </c>
      <c r="AD26" s="93"/>
      <c r="AE26" s="93" t="str">
        <f t="shared" ref="AE26" ca="1" si="117">IF(AE24="","",ROUNDUP(AE24/20,0))</f>
        <v/>
      </c>
      <c r="AF26" s="93"/>
      <c r="AG26" s="93" t="str">
        <f t="shared" ref="AG26" ca="1" si="118">IF(AG24="","",ROUNDUP(AG24/20,0))</f>
        <v/>
      </c>
      <c r="AH26" s="93"/>
      <c r="AI26" s="93" t="str">
        <f t="shared" ref="AI26" ca="1" si="119">IF(AI24="","",ROUNDUP(AI24/20,0))</f>
        <v/>
      </c>
      <c r="AJ26" s="93"/>
      <c r="AK26" s="93" t="str">
        <f t="shared" ref="AK26" ca="1" si="120">IF(AK24="","",ROUNDUP(AK24/20,0))</f>
        <v/>
      </c>
      <c r="AL26" s="93"/>
      <c r="AM26" s="93" t="str">
        <f t="shared" ref="AM26" ca="1" si="121">IF(AM24="","",ROUNDUP(AM24/20,0))</f>
        <v/>
      </c>
      <c r="AN26" s="93"/>
      <c r="AO26" s="93" t="str">
        <f t="shared" ref="AO26" ca="1" si="122">IF(AO24="","",ROUNDUP(AO24/20,0))</f>
        <v/>
      </c>
      <c r="AP26" s="93"/>
      <c r="AQ26" s="93" t="str">
        <f t="shared" ref="AQ26" ca="1" si="123">IF(AQ24="","",ROUNDUP(AQ24/20,0))</f>
        <v/>
      </c>
      <c r="AR26" s="93"/>
      <c r="AS26" s="93" t="str">
        <f t="shared" ref="AS26" ca="1" si="124">IF(AS24="","",ROUNDUP(AS24/20,0))</f>
        <v/>
      </c>
      <c r="AT26" s="93"/>
      <c r="AU26" s="93" t="str">
        <f t="shared" ref="AU26" ca="1" si="125">IF(AU24="","",ROUNDUP(AU24/20,0))</f>
        <v/>
      </c>
      <c r="AV26" s="93"/>
    </row>
    <row r="27" spans="2:48">
      <c r="B27" s="22" t="s">
        <v>58</v>
      </c>
      <c r="C27" s="24">
        <f ca="1">IF(C6="","",SUM(C20,C23,C26))</f>
        <v>0</v>
      </c>
      <c r="D27" s="24">
        <f ca="1">IF(C6="","",SUM(C18,C21,C24))</f>
        <v>0</v>
      </c>
      <c r="E27" s="24">
        <f ca="1">IF(E6="","",SUM(E20,E23,E26))</f>
        <v>0</v>
      </c>
      <c r="F27" s="24">
        <f ca="1">IF(E6="","",SUM(E18,E21,E24))</f>
        <v>0</v>
      </c>
      <c r="G27" s="24">
        <f ca="1">IF(G6="","",SUM(G20,G23,G26))</f>
        <v>1</v>
      </c>
      <c r="H27" s="24">
        <f ca="1">IF(G6="","",SUM(G18,G21,G24))</f>
        <v>1</v>
      </c>
      <c r="I27" s="24">
        <f ca="1">IF(I6="","",SUM(I20,I23,I26))</f>
        <v>1</v>
      </c>
      <c r="J27" s="24">
        <f ca="1">IF(I6="","",SUM(I18,I21,I24))</f>
        <v>1</v>
      </c>
      <c r="K27" s="24">
        <f ca="1">IF(K6="","",SUM(K20,K23,K26))</f>
        <v>1</v>
      </c>
      <c r="L27" s="24">
        <f ca="1">IF(K6="","",SUM(K18,K21,K24))</f>
        <v>1</v>
      </c>
      <c r="M27" s="24">
        <f ca="1">IF(M6="","",SUM(M20,M23,M26))</f>
        <v>1</v>
      </c>
      <c r="N27" s="24">
        <f ca="1">IF(M6="","",SUM(M18,M21,M24))</f>
        <v>1</v>
      </c>
      <c r="O27" s="24">
        <f ca="1">IF(O6="","",SUM(O20,O23,O26))</f>
        <v>2</v>
      </c>
      <c r="P27" s="24">
        <f ca="1">IF(O6="","",SUM(O18,O21,O24))</f>
        <v>2</v>
      </c>
      <c r="Q27" s="24">
        <f ca="1">IF(Q6="","",SUM(Q20,Q23,Q26))</f>
        <v>2</v>
      </c>
      <c r="R27" s="24">
        <f ca="1">IF(Q6="","",SUM(Q18,Q21,Q24))</f>
        <v>2</v>
      </c>
      <c r="S27" s="24">
        <f ca="1">IF(S6="","",SUM(S20,S23,S26))</f>
        <v>2</v>
      </c>
      <c r="T27" s="24">
        <f ca="1">IF(S6="","",SUM(S18,S21,S24))</f>
        <v>2</v>
      </c>
      <c r="U27" s="24">
        <f ca="1">IF(U6="","",SUM(U20,U23,U26))</f>
        <v>2</v>
      </c>
      <c r="V27" s="24">
        <f ca="1">IF(U6="","",SUM(U18,U21,U24))</f>
        <v>2</v>
      </c>
      <c r="W27" s="24">
        <f ca="1">IF(W6="","",SUM(W20,W23,W26))</f>
        <v>1</v>
      </c>
      <c r="X27" s="24">
        <f ca="1">IF(W6="","",SUM(W18,W21,W24))</f>
        <v>1</v>
      </c>
      <c r="Y27" s="24">
        <f ca="1">IF(Y6="","",SUM(Y20,Y23,Y26))</f>
        <v>1</v>
      </c>
      <c r="Z27" s="24">
        <f ca="1">IF(Y6="","",SUM(Y18,Y21,Y24))</f>
        <v>1</v>
      </c>
      <c r="AA27" s="24">
        <f ca="1">IF(AA6="","",SUM(AA20,AA23,AA26))</f>
        <v>0</v>
      </c>
      <c r="AB27" s="24">
        <f ca="1">IF(AA6="","",SUM(AA18,AA21,AA24))</f>
        <v>0</v>
      </c>
      <c r="AC27" s="24" t="str">
        <f ca="1">IF(AC6="","",SUM(AC20,AC23,AC26))</f>
        <v/>
      </c>
      <c r="AD27" s="24" t="str">
        <f ca="1">IF(AC6="","",SUM(AC18,AC21,AC24))</f>
        <v/>
      </c>
      <c r="AE27" s="24" t="str">
        <f ca="1">IF(AE6="","",SUM(AE20,AE23,AE26))</f>
        <v/>
      </c>
      <c r="AF27" s="24" t="str">
        <f ca="1">IF(AE6="","",SUM(AE18,AE21,AE24))</f>
        <v/>
      </c>
      <c r="AG27" s="24" t="str">
        <f ca="1">IF(AG6="","",SUM(AG20,AG23,AG26))</f>
        <v/>
      </c>
      <c r="AH27" s="24" t="str">
        <f ca="1">IF(AG6="","",SUM(AG18,AG21,AG24))</f>
        <v/>
      </c>
      <c r="AI27" s="24" t="str">
        <f ca="1">IF(AI6="","",SUM(AI20,AI23,AI26))</f>
        <v/>
      </c>
      <c r="AJ27" s="24" t="str">
        <f ca="1">IF(AI6="","",SUM(AI18,AI21,AI24))</f>
        <v/>
      </c>
      <c r="AK27" s="24" t="str">
        <f ca="1">IF(AK6="","",SUM(AK20,AK23,AK26))</f>
        <v/>
      </c>
      <c r="AL27" s="24" t="str">
        <f ca="1">IF(AK6="","",SUM(AK18,AK21,AK24))</f>
        <v/>
      </c>
      <c r="AM27" s="24" t="str">
        <f ca="1">IF(AM6="","",SUM(AM20,AM23,AM26))</f>
        <v/>
      </c>
      <c r="AN27" s="24" t="str">
        <f ca="1">IF(AM6="","",SUM(AM18,AM21,AM24))</f>
        <v/>
      </c>
      <c r="AO27" s="24" t="str">
        <f ca="1">IF(AO6="","",SUM(AO20,AO23,AO26))</f>
        <v/>
      </c>
      <c r="AP27" s="24" t="str">
        <f ca="1">IF(AO6="","",SUM(AO18,AO21,AO24))</f>
        <v/>
      </c>
      <c r="AQ27" s="24" t="str">
        <f ca="1">IF(AQ6="","",SUM(AQ20,AQ23,AQ26))</f>
        <v/>
      </c>
      <c r="AR27" s="24" t="str">
        <f ca="1">IF(AQ6="","",SUM(AQ18,AQ21,AQ24))</f>
        <v/>
      </c>
      <c r="AS27" s="24" t="str">
        <f ca="1">IF(AS6="","",SUM(AS20,AS23,AS26))</f>
        <v/>
      </c>
      <c r="AT27" s="24" t="str">
        <f ca="1">IF(AS6="","",SUM(AS18,AS21,AS24))</f>
        <v/>
      </c>
      <c r="AU27" s="24" t="str">
        <f ca="1">IF(AU6="","",SUM(AU20,AU23,AU26))</f>
        <v/>
      </c>
      <c r="AV27" s="24" t="str">
        <f ca="1">IF(AU6="","",SUM(AU18,AU21,AU24))</f>
        <v/>
      </c>
    </row>
  </sheetData>
  <mergeCells count="323">
    <mergeCell ref="W23:X23"/>
    <mergeCell ref="Y23:Z23"/>
    <mergeCell ref="C21:D22"/>
    <mergeCell ref="Y24:Z25"/>
    <mergeCell ref="AA24:AB25"/>
    <mergeCell ref="AC24:AD25"/>
    <mergeCell ref="AE24:AF25"/>
    <mergeCell ref="AG24:AH25"/>
    <mergeCell ref="U24:V25"/>
    <mergeCell ref="W24:X25"/>
    <mergeCell ref="AE21:AF22"/>
    <mergeCell ref="AG21:AH22"/>
    <mergeCell ref="E21:F22"/>
    <mergeCell ref="G21:H22"/>
    <mergeCell ref="I21:J22"/>
    <mergeCell ref="K21:L22"/>
    <mergeCell ref="M21:N22"/>
    <mergeCell ref="AA21:AB22"/>
    <mergeCell ref="C23:D23"/>
    <mergeCell ref="E23:F23"/>
    <mergeCell ref="G23:H23"/>
    <mergeCell ref="I23:J23"/>
    <mergeCell ref="K23:L23"/>
    <mergeCell ref="M23:N23"/>
    <mergeCell ref="AS24:AT25"/>
    <mergeCell ref="AU24:AV25"/>
    <mergeCell ref="AI24:AJ25"/>
    <mergeCell ref="C24:D25"/>
    <mergeCell ref="E24:F25"/>
    <mergeCell ref="G24:H25"/>
    <mergeCell ref="I24:J25"/>
    <mergeCell ref="K24:L25"/>
    <mergeCell ref="M24:N25"/>
    <mergeCell ref="AQ24:AR25"/>
    <mergeCell ref="Q24:R25"/>
    <mergeCell ref="S24:T25"/>
    <mergeCell ref="AK24:AL25"/>
    <mergeCell ref="AM24:AN25"/>
    <mergeCell ref="O24:P25"/>
    <mergeCell ref="AO24:AP25"/>
    <mergeCell ref="AM18:AN19"/>
    <mergeCell ref="AO18:AP19"/>
    <mergeCell ref="AQ18:AR19"/>
    <mergeCell ref="AA20:AB20"/>
    <mergeCell ref="C18:D19"/>
    <mergeCell ref="E18:F19"/>
    <mergeCell ref="G18:H19"/>
    <mergeCell ref="I18:J19"/>
    <mergeCell ref="K18:L19"/>
    <mergeCell ref="C20:D20"/>
    <mergeCell ref="E20:F20"/>
    <mergeCell ref="G20:H20"/>
    <mergeCell ref="I20:J20"/>
    <mergeCell ref="K20:L20"/>
    <mergeCell ref="M20:N20"/>
    <mergeCell ref="AC20:AD20"/>
    <mergeCell ref="AE20:AF20"/>
    <mergeCell ref="AG20:AH20"/>
    <mergeCell ref="AI20:AJ20"/>
    <mergeCell ref="AK20:AL20"/>
    <mergeCell ref="U20:V20"/>
    <mergeCell ref="W20:X20"/>
    <mergeCell ref="Y20:Z20"/>
    <mergeCell ref="AK18:AL19"/>
    <mergeCell ref="Y18:Z19"/>
    <mergeCell ref="AA18:AB19"/>
    <mergeCell ref="AC18:AD19"/>
    <mergeCell ref="O20:P20"/>
    <mergeCell ref="Q20:R20"/>
    <mergeCell ref="S20:T20"/>
    <mergeCell ref="M18:N19"/>
    <mergeCell ref="O18:P19"/>
    <mergeCell ref="Q18:R19"/>
    <mergeCell ref="S18:T19"/>
    <mergeCell ref="AU18:AV19"/>
    <mergeCell ref="AI18:AJ19"/>
    <mergeCell ref="AS18:AT19"/>
    <mergeCell ref="C14:D15"/>
    <mergeCell ref="E14:F15"/>
    <mergeCell ref="G14:H15"/>
    <mergeCell ref="I14:J15"/>
    <mergeCell ref="K14:L15"/>
    <mergeCell ref="AC14:AD15"/>
    <mergeCell ref="AE14:AF15"/>
    <mergeCell ref="AG14:AH15"/>
    <mergeCell ref="AK14:AL15"/>
    <mergeCell ref="AM14:AN15"/>
    <mergeCell ref="AO14:AP15"/>
    <mergeCell ref="AQ14:AR15"/>
    <mergeCell ref="AU14:AV15"/>
    <mergeCell ref="AI14:AJ15"/>
    <mergeCell ref="AS14:AT15"/>
    <mergeCell ref="AK16:AL16"/>
    <mergeCell ref="AM16:AN16"/>
    <mergeCell ref="AE18:AF19"/>
    <mergeCell ref="AG18:AH19"/>
    <mergeCell ref="U18:V19"/>
    <mergeCell ref="W18:X19"/>
    <mergeCell ref="AO7:AP7"/>
    <mergeCell ref="AQ7:AR7"/>
    <mergeCell ref="I13:J13"/>
    <mergeCell ref="K13:L13"/>
    <mergeCell ref="W13:X13"/>
    <mergeCell ref="Y13:Z13"/>
    <mergeCell ref="AA11:AB12"/>
    <mergeCell ref="C11:D12"/>
    <mergeCell ref="Y14:Z15"/>
    <mergeCell ref="AA14:AB15"/>
    <mergeCell ref="M14:N15"/>
    <mergeCell ref="O11:P12"/>
    <mergeCell ref="Q11:R12"/>
    <mergeCell ref="S11:T12"/>
    <mergeCell ref="U11:V12"/>
    <mergeCell ref="W11:X12"/>
    <mergeCell ref="Y11:Z12"/>
    <mergeCell ref="U14:V15"/>
    <mergeCell ref="W14:X15"/>
    <mergeCell ref="O14:P15"/>
    <mergeCell ref="Q14:R15"/>
    <mergeCell ref="S14:T15"/>
    <mergeCell ref="C13:D13"/>
    <mergeCell ref="E11:F12"/>
    <mergeCell ref="AS11:AT12"/>
    <mergeCell ref="AA13:AB13"/>
    <mergeCell ref="AC13:AD13"/>
    <mergeCell ref="AE13:AF13"/>
    <mergeCell ref="AG13:AH13"/>
    <mergeCell ref="AI11:AJ12"/>
    <mergeCell ref="AK11:AL12"/>
    <mergeCell ref="AO11:AP12"/>
    <mergeCell ref="AQ11:AR12"/>
    <mergeCell ref="AC11:AD12"/>
    <mergeCell ref="AE11:AF12"/>
    <mergeCell ref="AG11:AH12"/>
    <mergeCell ref="AM11:AN12"/>
    <mergeCell ref="AS10:AT10"/>
    <mergeCell ref="AK13:AL13"/>
    <mergeCell ref="AU10:AV10"/>
    <mergeCell ref="AM13:AN13"/>
    <mergeCell ref="AO13:AP13"/>
    <mergeCell ref="AQ13:AR13"/>
    <mergeCell ref="AS13:AT13"/>
    <mergeCell ref="AU11:AV12"/>
    <mergeCell ref="M7:N7"/>
    <mergeCell ref="AK8:AL9"/>
    <mergeCell ref="AM8:AN9"/>
    <mergeCell ref="AO8:AP9"/>
    <mergeCell ref="AQ8:AR9"/>
    <mergeCell ref="M8:N9"/>
    <mergeCell ref="O8:P9"/>
    <mergeCell ref="Q8:R9"/>
    <mergeCell ref="S8:T9"/>
    <mergeCell ref="U8:V9"/>
    <mergeCell ref="S7:T7"/>
    <mergeCell ref="U7:V7"/>
    <mergeCell ref="M13:N13"/>
    <mergeCell ref="O13:P13"/>
    <mergeCell ref="Q13:R13"/>
    <mergeCell ref="S13:T13"/>
    <mergeCell ref="U13:V13"/>
    <mergeCell ref="AI13:AJ13"/>
    <mergeCell ref="C7:D7"/>
    <mergeCell ref="E7:F7"/>
    <mergeCell ref="G7:H7"/>
    <mergeCell ref="I7:J7"/>
    <mergeCell ref="K7:L7"/>
    <mergeCell ref="C8:D9"/>
    <mergeCell ref="E8:F9"/>
    <mergeCell ref="G8:H9"/>
    <mergeCell ref="K8:L9"/>
    <mergeCell ref="K11:L12"/>
    <mergeCell ref="M11:N12"/>
    <mergeCell ref="AG7:AH7"/>
    <mergeCell ref="G11:H12"/>
    <mergeCell ref="I11:J12"/>
    <mergeCell ref="AQ6:AR6"/>
    <mergeCell ref="AS6:AT6"/>
    <mergeCell ref="AU6:AV6"/>
    <mergeCell ref="Y6:Z6"/>
    <mergeCell ref="AA6:AB6"/>
    <mergeCell ref="AC6:AD6"/>
    <mergeCell ref="AE6:AF6"/>
    <mergeCell ref="AG6:AH6"/>
    <mergeCell ref="W8:X9"/>
    <mergeCell ref="W7:X7"/>
    <mergeCell ref="AS7:AT7"/>
    <mergeCell ref="AU8:AV9"/>
    <mergeCell ref="Y8:Z9"/>
    <mergeCell ref="AA8:AB9"/>
    <mergeCell ref="AC8:AD9"/>
    <mergeCell ref="AE8:AF9"/>
    <mergeCell ref="AG8:AH9"/>
    <mergeCell ref="AI8:AJ9"/>
    <mergeCell ref="AS8:AT9"/>
    <mergeCell ref="AU7:AV7"/>
    <mergeCell ref="AI7:AJ7"/>
    <mergeCell ref="AA7:AB7"/>
    <mergeCell ref="AC7:AD7"/>
    <mergeCell ref="AE7:AF7"/>
    <mergeCell ref="AM26:AN26"/>
    <mergeCell ref="AO26:AP26"/>
    <mergeCell ref="B1:L5"/>
    <mergeCell ref="M6:N6"/>
    <mergeCell ref="O6:P6"/>
    <mergeCell ref="Q6:R6"/>
    <mergeCell ref="S6:T6"/>
    <mergeCell ref="U6:V6"/>
    <mergeCell ref="W6:X6"/>
    <mergeCell ref="I8:J9"/>
    <mergeCell ref="C6:D6"/>
    <mergeCell ref="E6:F6"/>
    <mergeCell ref="G6:H6"/>
    <mergeCell ref="I6:J6"/>
    <mergeCell ref="K6:L6"/>
    <mergeCell ref="AM7:AN7"/>
    <mergeCell ref="AK6:AL6"/>
    <mergeCell ref="AM6:AN6"/>
    <mergeCell ref="AI6:AJ6"/>
    <mergeCell ref="Y7:Z7"/>
    <mergeCell ref="AO6:AP6"/>
    <mergeCell ref="AK7:AL7"/>
    <mergeCell ref="O7:P7"/>
    <mergeCell ref="Q7:R7"/>
    <mergeCell ref="U26:V26"/>
    <mergeCell ref="W26:X26"/>
    <mergeCell ref="Y26:Z26"/>
    <mergeCell ref="AA26:AB26"/>
    <mergeCell ref="AC26:AD26"/>
    <mergeCell ref="AE26:AF26"/>
    <mergeCell ref="AG26:AH26"/>
    <mergeCell ref="AI26:AJ26"/>
    <mergeCell ref="AK26:AL26"/>
    <mergeCell ref="C26:D26"/>
    <mergeCell ref="E26:F26"/>
    <mergeCell ref="G26:H26"/>
    <mergeCell ref="I26:J26"/>
    <mergeCell ref="K26:L26"/>
    <mergeCell ref="M26:N26"/>
    <mergeCell ref="O26:P26"/>
    <mergeCell ref="Q26:R26"/>
    <mergeCell ref="S26:T26"/>
    <mergeCell ref="AQ26:AR26"/>
    <mergeCell ref="AS26:AT26"/>
    <mergeCell ref="AU26:AV26"/>
    <mergeCell ref="C10:D10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W10:X10"/>
    <mergeCell ref="Y10:Z10"/>
    <mergeCell ref="AA10:AB10"/>
    <mergeCell ref="AC10:AD10"/>
    <mergeCell ref="AE10:AF10"/>
    <mergeCell ref="AG10:AH10"/>
    <mergeCell ref="AI10:AJ10"/>
    <mergeCell ref="AK10:AL10"/>
    <mergeCell ref="AM10:AN10"/>
    <mergeCell ref="AO10:AP10"/>
    <mergeCell ref="AQ10:AR10"/>
    <mergeCell ref="AU13:AV13"/>
    <mergeCell ref="C16:D16"/>
    <mergeCell ref="E16:F16"/>
    <mergeCell ref="G16:H16"/>
    <mergeCell ref="I16:J16"/>
    <mergeCell ref="K16:L16"/>
    <mergeCell ref="M16:N16"/>
    <mergeCell ref="O16:P16"/>
    <mergeCell ref="Q16:R16"/>
    <mergeCell ref="S16:T16"/>
    <mergeCell ref="U16:V16"/>
    <mergeCell ref="W16:X16"/>
    <mergeCell ref="Y16:Z16"/>
    <mergeCell ref="AA16:AB16"/>
    <mergeCell ref="AS16:AT16"/>
    <mergeCell ref="AU16:AV16"/>
    <mergeCell ref="AC16:AD16"/>
    <mergeCell ref="AE16:AF16"/>
    <mergeCell ref="AO16:AP16"/>
    <mergeCell ref="AQ16:AR16"/>
    <mergeCell ref="AG16:AH16"/>
    <mergeCell ref="AI16:AJ16"/>
    <mergeCell ref="E13:F13"/>
    <mergeCell ref="G13:H13"/>
    <mergeCell ref="O23:P23"/>
    <mergeCell ref="Q23:R23"/>
    <mergeCell ref="S23:T23"/>
    <mergeCell ref="AO23:AP23"/>
    <mergeCell ref="AQ23:AR23"/>
    <mergeCell ref="AS23:AT23"/>
    <mergeCell ref="AI23:AJ23"/>
    <mergeCell ref="AK23:AL23"/>
    <mergeCell ref="AO21:AP22"/>
    <mergeCell ref="AQ21:AR22"/>
    <mergeCell ref="AA23:AB23"/>
    <mergeCell ref="AC23:AD23"/>
    <mergeCell ref="AE23:AF23"/>
    <mergeCell ref="AG23:AH23"/>
    <mergeCell ref="W21:X22"/>
    <mergeCell ref="Y21:Z22"/>
    <mergeCell ref="U23:V23"/>
    <mergeCell ref="O21:P22"/>
    <mergeCell ref="Q21:R22"/>
    <mergeCell ref="S21:T22"/>
    <mergeCell ref="U21:V22"/>
    <mergeCell ref="AI21:AJ22"/>
    <mergeCell ref="AK21:AL22"/>
    <mergeCell ref="AC21:AD22"/>
    <mergeCell ref="AM20:AN20"/>
    <mergeCell ref="AO20:AP20"/>
    <mergeCell ref="AQ20:AR20"/>
    <mergeCell ref="AS20:AT20"/>
    <mergeCell ref="AU20:AV20"/>
    <mergeCell ref="AM23:AN23"/>
    <mergeCell ref="AS21:AT22"/>
    <mergeCell ref="AU21:AV22"/>
    <mergeCell ref="AM21:AN22"/>
    <mergeCell ref="AU23:AV23"/>
  </mergeCells>
  <phoneticPr fontId="1"/>
  <conditionalFormatting sqref="B18:AV27">
    <cfRule type="expression" dxfId="13" priority="1">
      <formula>OR(B18:AV40&lt;&gt;"")</formula>
    </cfRule>
  </conditionalFormatting>
  <conditionalFormatting sqref="B6:AV17">
    <cfRule type="expression" dxfId="12" priority="9">
      <formula>OR(B6:AV27&lt;&gt;"")</formula>
    </cfRule>
  </conditionalFormatting>
  <pageMargins left="0.7" right="0.7" top="0.75" bottom="0.75" header="0.3" footer="0.3"/>
  <pageSetup paperSize="9" orientation="landscape" horizontalDpi="0" verticalDpi="0" r:id="rId1"/>
  <ignoredErrors>
    <ignoredError sqref="B1:AV5 B22:D22 B20 B12:D12 B10 D10 B9:D9 B7 D7:AV7 B15:D15 B13 D13 B17:AV17 B16 D16 D20 B25:D25 B23 D23 B27:AV27 B26 D26 B19:D19 B6 D6 F6 B8 D8 B11 D11 B14 D14 B18 D18 B21 D21 B24 D24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O23"/>
  <sheetViews>
    <sheetView topLeftCell="A3" zoomScale="85" zoomScaleNormal="85" workbookViewId="0">
      <selection activeCell="AC11" sqref="AC11"/>
    </sheetView>
  </sheetViews>
  <sheetFormatPr defaultColWidth="8.875" defaultRowHeight="18.75"/>
  <cols>
    <col min="1" max="1" width="7.5" customWidth="1"/>
    <col min="2" max="2" width="8.625" customWidth="1"/>
    <col min="3" max="3" width="4.125" customWidth="1"/>
    <col min="4" max="4" width="7.625" customWidth="1"/>
    <col min="5" max="11" width="4.5" customWidth="1"/>
    <col min="12" max="26" width="5.5" customWidth="1"/>
    <col min="27" max="28" width="4.625" customWidth="1"/>
    <col min="29" max="29" width="5.625" customWidth="1"/>
  </cols>
  <sheetData>
    <row r="1" spans="1:41" ht="21.75" customHeight="1">
      <c r="A1">
        <v>18</v>
      </c>
      <c r="B1">
        <v>25</v>
      </c>
      <c r="C1">
        <v>19</v>
      </c>
    </row>
    <row r="2" spans="1:41" ht="24">
      <c r="B2" s="39"/>
      <c r="C2" s="39"/>
      <c r="D2" s="39"/>
      <c r="E2" s="38"/>
      <c r="F2" s="33"/>
      <c r="G2" s="98"/>
      <c r="H2" s="98"/>
      <c r="I2" s="98"/>
      <c r="J2" s="37"/>
      <c r="K2" s="36"/>
      <c r="L2" s="99">
        <v>2016</v>
      </c>
      <c r="M2" s="99"/>
      <c r="N2" s="99"/>
      <c r="O2" s="34" t="s">
        <v>32</v>
      </c>
      <c r="P2" s="35">
        <v>8</v>
      </c>
      <c r="Q2" s="34" t="s">
        <v>31</v>
      </c>
      <c r="R2" s="33"/>
      <c r="S2" s="33"/>
      <c r="T2" s="33"/>
      <c r="U2" s="33"/>
      <c r="V2" s="33"/>
      <c r="W2" s="33"/>
      <c r="X2" s="33"/>
      <c r="Y2" s="33"/>
      <c r="Z2" s="33"/>
      <c r="AA2" s="33"/>
    </row>
    <row r="3" spans="1:41" ht="36.75" customHeight="1">
      <c r="B3" s="100" t="s">
        <v>41</v>
      </c>
      <c r="C3" s="100"/>
      <c r="D3" s="100"/>
      <c r="E3" s="45">
        <f>WORKDAY(DATE($L$2,$P$2,0),1,祝日データ!$A$1:$A$1000)</f>
        <v>42583</v>
      </c>
      <c r="F3" s="46">
        <f>IF(E3="","",IF(MONTH(WORKDAY(E$3,1,祝日データ!$A$1:$A$1000))&lt;&gt;$P$2,"",WORKDAY(E$3,1,祝日データ!$A$1:$A$1000)))</f>
        <v>42584</v>
      </c>
      <c r="G3" s="46">
        <f>IF(F3="","",IF(MONTH(WORKDAY(F$3,1,祝日データ!$A$1:$A$1000))&lt;&gt;$P$2,"",WORKDAY(F$3,1,祝日データ!$A$1:$A$1000)))</f>
        <v>42585</v>
      </c>
      <c r="H3" s="46">
        <f>IF(G3="","",IF(MONTH(WORKDAY(G$3,1,祝日データ!$A$1:$A$1000))&lt;&gt;$P$2,"",WORKDAY(G$3,1,祝日データ!$A$1:$A$1000)))</f>
        <v>42586</v>
      </c>
      <c r="I3" s="46">
        <f>IF(H3="","",IF(MONTH(WORKDAY(H$3,1,祝日データ!$A$1:$A$1000))&lt;&gt;$P$2,"",WORKDAY(H$3,1,祝日データ!$A$1:$A$1000)))</f>
        <v>42587</v>
      </c>
      <c r="J3" s="46">
        <f>IF(I3="","",IF(MONTH(WORKDAY(I$3,1,祝日データ!$A$1:$A$1000))&lt;&gt;$P$2,"",WORKDAY(I$3,1,祝日データ!$A$1:$A$1000)))</f>
        <v>42590</v>
      </c>
      <c r="K3" s="46">
        <f>IF(J3="","",IF(MONTH(WORKDAY(J$3,1,祝日データ!$A$1:$A$1000))&lt;&gt;$P$2,"",WORKDAY(J$3,1,祝日データ!$A$1:$A$1000)))</f>
        <v>42591</v>
      </c>
      <c r="L3" s="46">
        <f>IF(K3="","",IF(MONTH(WORKDAY(K$3,1,祝日データ!$A$1:$A$1000))&lt;&gt;$P$2,"",WORKDAY(K$3,1,祝日データ!$A$1:$A$1000)))</f>
        <v>42592</v>
      </c>
      <c r="M3" s="46">
        <f>IF(L3="","",IF(MONTH(WORKDAY(L$3,1,祝日データ!$A$1:$A$1000))&lt;&gt;$P$2,"",WORKDAY(L$3,1,祝日データ!$A$1:$A$1000)))</f>
        <v>42594</v>
      </c>
      <c r="N3" s="46">
        <f>IF(M3="","",IF(MONTH(WORKDAY(M$3,1,祝日データ!$A$1:$A$1000))&lt;&gt;$P$2,"",WORKDAY(M$3,1,祝日データ!$A$1:$A$1000)))</f>
        <v>42597</v>
      </c>
      <c r="O3" s="46">
        <f>IF(N3="","",IF(MONTH(WORKDAY(N$3,1,祝日データ!$A$1:$A$1000))&lt;&gt;$P$2,"",WORKDAY(N$3,1,祝日データ!$A$1:$A$1000)))</f>
        <v>42598</v>
      </c>
      <c r="P3" s="46">
        <f>IF(O3="","",IF(MONTH(WORKDAY(O$3,1,祝日データ!$A$1:$A$1000))&lt;&gt;$P$2,"",WORKDAY(O$3,1,祝日データ!$A$1:$A$1000)))</f>
        <v>42599</v>
      </c>
      <c r="Q3" s="46">
        <f>IF(P3="","",IF(MONTH(WORKDAY(P$3,1,祝日データ!$A$1:$A$1000))&lt;&gt;$P$2,"",WORKDAY(P$3,1,祝日データ!$A$1:$A$1000)))</f>
        <v>42600</v>
      </c>
      <c r="R3" s="46">
        <f>IF(Q3="","",IF(MONTH(WORKDAY(Q$3,1,祝日データ!$A$1:$A$1000))&lt;&gt;$P$2,"",WORKDAY(Q$3,1,祝日データ!$A$1:$A$1000)))</f>
        <v>42601</v>
      </c>
      <c r="S3" s="46">
        <f>IF(R3="","",IF(MONTH(WORKDAY(R$3,1,祝日データ!$A$1:$A$1000))&lt;&gt;$P$2,"",WORKDAY(R$3,1,祝日データ!$A$1:$A$1000)))</f>
        <v>42604</v>
      </c>
      <c r="T3" s="46">
        <f>IF(S3="","",IF(MONTH(WORKDAY(S$3,1,祝日データ!$A$1:$A$1000))&lt;&gt;$P$2,"",WORKDAY(S$3,1,祝日データ!$A$1:$A$1000)))</f>
        <v>42605</v>
      </c>
      <c r="U3" s="46">
        <f>IF(T3="","",IF(MONTH(WORKDAY(T$3,1,祝日データ!$A$1:$A$1000))&lt;&gt;$P$2,"",WORKDAY(T$3,1,祝日データ!$A$1:$A$1000)))</f>
        <v>42606</v>
      </c>
      <c r="V3" s="46">
        <f>IF(U3="","",IF(MONTH(WORKDAY(U$3,1,祝日データ!$A$1:$A$1000))&lt;&gt;$P$2,"",WORKDAY(U$3,1,祝日データ!$A$1:$A$1000)))</f>
        <v>42607</v>
      </c>
      <c r="W3" s="46">
        <f>IF(V3="","",IF(MONTH(WORKDAY(V$3,1,祝日データ!$A$1:$A$1000))&lt;&gt;$P$2,"",WORKDAY(V$3,1,祝日データ!$A$1:$A$1000)))</f>
        <v>42608</v>
      </c>
      <c r="X3" s="46">
        <f>IF(W3="","",IF(MONTH(WORKDAY(W$3,1,祝日データ!$A$1:$A$1000))&lt;&gt;$P$2,"",WORKDAY(W$3,1,祝日データ!$A$1:$A$1000)))</f>
        <v>42611</v>
      </c>
      <c r="Y3" s="46">
        <f>IF(X3="","",IF(MONTH(WORKDAY(X$3,1,祝日データ!$A$1:$A$1000))&lt;&gt;$P$2,"",WORKDAY(X$3,1,祝日データ!$A$1:$A$1000)))</f>
        <v>42612</v>
      </c>
      <c r="Z3" s="46">
        <f>IF(Y3="","",IF(MONTH(WORKDAY(Y$3,1,祝日データ!$A$1:$A$1000))&lt;&gt;$P$2,"",WORKDAY(Y$3,1,祝日データ!$A$1:$A$1000)))</f>
        <v>42613</v>
      </c>
      <c r="AA3" s="46" t="str">
        <f>IF(Z3="","",IF(MONTH(WORKDAY(Z$3,1,祝日データ!$A$1:$A$1000))&lt;&gt;$P$2,"",WORKDAY(Z$3,1,祝日データ!$A$1:$A$1000)))</f>
        <v/>
      </c>
      <c r="AB3" s="32" t="str">
        <f>IF(AA3="","",IF(MONTH(WORKDAY(AA$3,1,祝日データ!$A$1:$A$1000))&lt;&gt;$P$2,"",WORKDAY(AA$3,1,祝日データ!$A$1:$A$1000)))</f>
        <v/>
      </c>
      <c r="AC3" s="31" t="str">
        <f>IF(AB3="","",IF(MONTH(WORKDAY(AB$3,1,祝日データ!$A$1:$A$1000))&lt;&gt;$K$2,"",WORKDAY(AB$3,1,祝日データ!$A$1:$A$1000)))</f>
        <v/>
      </c>
      <c r="AD3" s="30" t="str">
        <f>IF(AC3="","",IF(MONTH(WORKDAY(AC$3,1,祝日データ!$A$1:$A$1000))&lt;&gt;$K$2,"",WORKDAY(AC$3,1,祝日データ!$A$1:$A$1000)))</f>
        <v/>
      </c>
      <c r="AE3" s="30" t="str">
        <f>IF(AD3="","",IF(MONTH(WORKDAY(AD$3,1,祝日データ!$A$1:$A$1000))&lt;&gt;$K$2,"",WORKDAY(AD$3,1,祝日データ!$A$1:$A$1000)))</f>
        <v/>
      </c>
      <c r="AF3" s="30" t="str">
        <f>IF(AE3="","",IF(MONTH(WORKDAY(AE$3,1,祝日データ!$A$1:$A$1000))&lt;&gt;$K$2,"",WORKDAY(AE$3,1,祝日データ!$A$1:$A$1000)))</f>
        <v/>
      </c>
      <c r="AG3" s="30" t="str">
        <f>IF(AF3="","",IF(MONTH(WORKDAY(AF$3,1,祝日データ!$A$1:$A$1000))&lt;&gt;$K$2,"",WORKDAY(AF$3,1,祝日データ!$A$1:$A$1000)))</f>
        <v/>
      </c>
      <c r="AH3" s="30" t="str">
        <f>IF(AG3="","",IF(MONTH(WORKDAY(AG$3,1,祝日データ!$A$1:$A$1000))&lt;&gt;$K$2,"",WORKDAY(AG$3,1,祝日データ!$A$1:$A$1000)))</f>
        <v/>
      </c>
      <c r="AI3" s="30" t="str">
        <f>IF(AH3="","",IF(MONTH(WORKDAY(AH$3,1,祝日データ!$A$1:$A$1000))&lt;&gt;$K$2,"",WORKDAY(AH$3,1,祝日データ!$A$1:$A$1000)))</f>
        <v/>
      </c>
      <c r="AJ3" s="30" t="str">
        <f>IF(AI3="","",IF(MONTH(WORKDAY(AI$3,1,祝日データ!$A$1:$A$1000))&lt;&gt;$K$2,"",WORKDAY(AI$3,1,祝日データ!$A$1:$A$1000)))</f>
        <v/>
      </c>
      <c r="AK3" s="30" t="str">
        <f>IF(AJ3="","",IF(MONTH(WORKDAY(AJ$3,1,祝日データ!$A$1:$A$1000))&lt;&gt;$K$2,"",WORKDAY(AJ$3,1,祝日データ!$A$1:$A$1000)))</f>
        <v/>
      </c>
      <c r="AL3" s="30" t="str">
        <f>IF(AK3="","",IF(MONTH(WORKDAY(AK$3,1,祝日データ!$A$1:$A$1000))&lt;&gt;$K$2,"",WORKDAY(AK$3,1,祝日データ!$A$1:$A$1000)))</f>
        <v/>
      </c>
      <c r="AM3" s="30" t="str">
        <f>IF(AL3="","",IF(MONTH(WORKDAY(AL$3,1,祝日データ!$A$1:$A$1000))&lt;&gt;$K$2,"",WORKDAY(AL$3,1,祝日データ!$A$1:$A$1000)))</f>
        <v/>
      </c>
      <c r="AN3" s="30" t="str">
        <f>IF(AM3="","",IF(MONTH(WORKDAY(AM$3,1,祝日データ!$A$1:$A$1000))&lt;&gt;$K$2,"",WORKDAY(AM$3,1,祝日データ!$A$1:$A$1000)))</f>
        <v/>
      </c>
      <c r="AO3" s="30" t="str">
        <f>IF(AN3="","",IF(MONTH(WORKDAY(AN$3,1,祝日データ!$A$1:$A$1000))&lt;&gt;$K$2,"",WORKDAY(AN$3,1,祝日データ!$A$1:$A$1000)))</f>
        <v/>
      </c>
    </row>
    <row r="4" spans="1:41" ht="27" customHeight="1">
      <c r="B4" s="25">
        <v>0.29166666666666669</v>
      </c>
      <c r="C4" s="25" t="s">
        <v>55</v>
      </c>
      <c r="D4" s="25">
        <v>0.625</v>
      </c>
      <c r="E4" s="47" t="s">
        <v>70</v>
      </c>
      <c r="F4" s="47" t="s">
        <v>81</v>
      </c>
      <c r="G4" s="47" t="s">
        <v>141</v>
      </c>
      <c r="H4" s="47" t="s">
        <v>148</v>
      </c>
      <c r="I4" s="47" t="s">
        <v>128</v>
      </c>
      <c r="J4" s="47" t="s">
        <v>131</v>
      </c>
      <c r="K4" s="47" t="s">
        <v>143</v>
      </c>
      <c r="L4" s="47" t="s">
        <v>144</v>
      </c>
      <c r="M4" s="47" t="s">
        <v>127</v>
      </c>
      <c r="N4" s="47" t="s">
        <v>135</v>
      </c>
      <c r="O4" s="47" t="s">
        <v>136</v>
      </c>
      <c r="P4" s="47" t="s">
        <v>126</v>
      </c>
      <c r="Q4" s="47" t="s">
        <v>129</v>
      </c>
      <c r="R4" s="47" t="s">
        <v>146</v>
      </c>
      <c r="S4" s="47" t="s">
        <v>147</v>
      </c>
      <c r="T4" s="47" t="s">
        <v>70</v>
      </c>
      <c r="U4" s="47" t="s">
        <v>140</v>
      </c>
      <c r="V4" s="47" t="s">
        <v>141</v>
      </c>
      <c r="W4" s="47" t="s">
        <v>148</v>
      </c>
      <c r="X4" s="47" t="s">
        <v>142</v>
      </c>
      <c r="Y4" s="47" t="s">
        <v>131</v>
      </c>
      <c r="Z4" s="47" t="s">
        <v>143</v>
      </c>
      <c r="AA4" s="47"/>
      <c r="AB4" s="47"/>
    </row>
    <row r="5" spans="1:41" ht="27" customHeight="1">
      <c r="B5" s="25">
        <v>0.30208333333333331</v>
      </c>
      <c r="C5" s="25" t="s">
        <v>55</v>
      </c>
      <c r="D5" s="25">
        <v>0.4375</v>
      </c>
      <c r="E5" s="47" t="s">
        <v>81</v>
      </c>
      <c r="F5" s="47" t="s">
        <v>72</v>
      </c>
      <c r="G5" s="47" t="s">
        <v>148</v>
      </c>
      <c r="H5" s="47" t="s">
        <v>128</v>
      </c>
      <c r="I5" s="47" t="s">
        <v>131</v>
      </c>
      <c r="J5" s="47" t="s">
        <v>134</v>
      </c>
      <c r="K5" s="47" t="s">
        <v>144</v>
      </c>
      <c r="L5" s="47" t="s">
        <v>127</v>
      </c>
      <c r="M5" s="47" t="s">
        <v>135</v>
      </c>
      <c r="N5" s="47" t="s">
        <v>136</v>
      </c>
      <c r="O5" s="47" t="s">
        <v>137</v>
      </c>
      <c r="P5" s="47" t="s">
        <v>138</v>
      </c>
      <c r="Q5" s="47" t="s">
        <v>146</v>
      </c>
      <c r="R5" s="47" t="s">
        <v>147</v>
      </c>
      <c r="S5" s="47" t="s">
        <v>70</v>
      </c>
      <c r="T5" s="47" t="s">
        <v>81</v>
      </c>
      <c r="U5" s="47" t="s">
        <v>141</v>
      </c>
      <c r="V5" s="47" t="s">
        <v>148</v>
      </c>
      <c r="W5" s="47" t="s">
        <v>128</v>
      </c>
      <c r="X5" s="47" t="s">
        <v>131</v>
      </c>
      <c r="Y5" s="47" t="s">
        <v>134</v>
      </c>
      <c r="Z5" s="47" t="s">
        <v>144</v>
      </c>
      <c r="AA5" s="47"/>
      <c r="AB5" s="47"/>
    </row>
    <row r="6" spans="1:41" ht="27" customHeight="1">
      <c r="B6" s="25">
        <v>0.3125</v>
      </c>
      <c r="C6" s="25" t="s">
        <v>55</v>
      </c>
      <c r="D6" s="25">
        <v>0.64583333333333337</v>
      </c>
      <c r="E6" s="47" t="s">
        <v>72</v>
      </c>
      <c r="F6" s="47" t="s">
        <v>73</v>
      </c>
      <c r="G6" s="47" t="s">
        <v>128</v>
      </c>
      <c r="H6" s="47" t="s">
        <v>149</v>
      </c>
      <c r="I6" s="47" t="s">
        <v>143</v>
      </c>
      <c r="J6" s="47" t="s">
        <v>144</v>
      </c>
      <c r="K6" s="47" t="s">
        <v>127</v>
      </c>
      <c r="L6" s="47" t="s">
        <v>135</v>
      </c>
      <c r="M6" s="47" t="s">
        <v>136</v>
      </c>
      <c r="N6" s="47" t="s">
        <v>126</v>
      </c>
      <c r="O6" s="47" t="s">
        <v>129</v>
      </c>
      <c r="P6" s="47" t="s">
        <v>146</v>
      </c>
      <c r="Q6" s="47" t="s">
        <v>147</v>
      </c>
      <c r="R6" s="47" t="s">
        <v>70</v>
      </c>
      <c r="S6" s="47" t="s">
        <v>81</v>
      </c>
      <c r="T6" s="47" t="s">
        <v>72</v>
      </c>
      <c r="U6" s="47" t="s">
        <v>148</v>
      </c>
      <c r="V6" s="47" t="s">
        <v>128</v>
      </c>
      <c r="W6" s="47" t="s">
        <v>131</v>
      </c>
      <c r="X6" s="47" t="s">
        <v>134</v>
      </c>
      <c r="Y6" s="47" t="s">
        <v>144</v>
      </c>
      <c r="Z6" s="47" t="s">
        <v>127</v>
      </c>
      <c r="AA6" s="47"/>
      <c r="AB6" s="47"/>
    </row>
    <row r="7" spans="1:41" ht="27" customHeight="1">
      <c r="B7" s="25">
        <v>0.33333333333333331</v>
      </c>
      <c r="C7" s="25" t="s">
        <v>55</v>
      </c>
      <c r="D7" s="25">
        <v>0.66666666666666663</v>
      </c>
      <c r="E7" s="47" t="s">
        <v>73</v>
      </c>
      <c r="F7" s="47" t="s">
        <v>128</v>
      </c>
      <c r="G7" s="47" t="s">
        <v>131</v>
      </c>
      <c r="H7" s="47" t="s">
        <v>143</v>
      </c>
      <c r="I7" s="47" t="s">
        <v>144</v>
      </c>
      <c r="J7" s="47" t="s">
        <v>127</v>
      </c>
      <c r="K7" s="47" t="s">
        <v>135</v>
      </c>
      <c r="L7" s="47" t="s">
        <v>133</v>
      </c>
      <c r="M7" s="47" t="s">
        <v>126</v>
      </c>
      <c r="N7" s="47" t="s">
        <v>129</v>
      </c>
      <c r="O7" s="47" t="s">
        <v>132</v>
      </c>
      <c r="P7" s="47" t="s">
        <v>147</v>
      </c>
      <c r="Q7" s="47" t="s">
        <v>70</v>
      </c>
      <c r="R7" s="47" t="s">
        <v>81</v>
      </c>
      <c r="S7" s="47" t="s">
        <v>72</v>
      </c>
      <c r="T7" s="47" t="s">
        <v>73</v>
      </c>
      <c r="U7" s="47" t="s">
        <v>128</v>
      </c>
      <c r="V7" s="47" t="s">
        <v>149</v>
      </c>
      <c r="W7" s="47" t="s">
        <v>134</v>
      </c>
      <c r="X7" s="47" t="s">
        <v>144</v>
      </c>
      <c r="Y7" s="47" t="s">
        <v>145</v>
      </c>
      <c r="Z7" s="47" t="s">
        <v>135</v>
      </c>
      <c r="AA7" s="47"/>
      <c r="AB7" s="47"/>
    </row>
    <row r="8" spans="1:41" ht="27" customHeight="1">
      <c r="B8" s="25">
        <v>0.34375</v>
      </c>
      <c r="C8" s="25" t="s">
        <v>55</v>
      </c>
      <c r="D8" s="25">
        <v>0.67708333333333337</v>
      </c>
      <c r="E8" s="47" t="s">
        <v>74</v>
      </c>
      <c r="F8" s="47" t="s">
        <v>82</v>
      </c>
      <c r="G8" s="47" t="s">
        <v>134</v>
      </c>
      <c r="H8" s="47" t="s">
        <v>144</v>
      </c>
      <c r="I8" s="47" t="s">
        <v>127</v>
      </c>
      <c r="J8" s="47" t="s">
        <v>135</v>
      </c>
      <c r="K8" s="47" t="s">
        <v>136</v>
      </c>
      <c r="L8" s="47" t="s">
        <v>126</v>
      </c>
      <c r="M8" s="47" t="s">
        <v>129</v>
      </c>
      <c r="N8" s="47" t="s">
        <v>146</v>
      </c>
      <c r="O8" s="47" t="s">
        <v>125</v>
      </c>
      <c r="P8" s="47" t="s">
        <v>70</v>
      </c>
      <c r="Q8" s="47" t="s">
        <v>81</v>
      </c>
      <c r="R8" s="47" t="s">
        <v>72</v>
      </c>
      <c r="S8" s="47" t="s">
        <v>73</v>
      </c>
      <c r="T8" s="47" t="s">
        <v>74</v>
      </c>
      <c r="U8" s="47" t="s">
        <v>131</v>
      </c>
      <c r="V8" s="47" t="s">
        <v>134</v>
      </c>
      <c r="W8" s="47" t="s">
        <v>144</v>
      </c>
      <c r="X8" s="47" t="s">
        <v>127</v>
      </c>
      <c r="Y8" s="47" t="s">
        <v>135</v>
      </c>
      <c r="Z8" s="47" t="s">
        <v>136</v>
      </c>
      <c r="AA8" s="47"/>
      <c r="AB8" s="47"/>
    </row>
    <row r="9" spans="1:41" ht="27" customHeight="1">
      <c r="B9" s="25">
        <v>0.35416666666666669</v>
      </c>
      <c r="C9" s="25" t="s">
        <v>55</v>
      </c>
      <c r="D9" s="25">
        <v>0.6875</v>
      </c>
      <c r="E9" s="47" t="s">
        <v>82</v>
      </c>
      <c r="F9" s="47" t="s">
        <v>71</v>
      </c>
      <c r="G9" s="47" t="s">
        <v>144</v>
      </c>
      <c r="H9" s="47" t="s">
        <v>127</v>
      </c>
      <c r="I9" s="47" t="s">
        <v>135</v>
      </c>
      <c r="J9" s="47" t="s">
        <v>136</v>
      </c>
      <c r="K9" s="47" t="s">
        <v>126</v>
      </c>
      <c r="L9" s="47" t="s">
        <v>129</v>
      </c>
      <c r="M9" s="47" t="s">
        <v>146</v>
      </c>
      <c r="N9" s="47" t="s">
        <v>125</v>
      </c>
      <c r="O9" s="47" t="s">
        <v>70</v>
      </c>
      <c r="P9" s="47" t="s">
        <v>81</v>
      </c>
      <c r="Q9" s="47" t="s">
        <v>72</v>
      </c>
      <c r="R9" s="47" t="s">
        <v>73</v>
      </c>
      <c r="S9" s="47" t="s">
        <v>74</v>
      </c>
      <c r="T9" s="47" t="s">
        <v>82</v>
      </c>
      <c r="U9" s="47" t="s">
        <v>143</v>
      </c>
      <c r="V9" s="47" t="s">
        <v>144</v>
      </c>
      <c r="W9" s="47" t="s">
        <v>127</v>
      </c>
      <c r="X9" s="47" t="s">
        <v>130</v>
      </c>
      <c r="Y9" s="47" t="s">
        <v>136</v>
      </c>
      <c r="Z9" s="47" t="s">
        <v>137</v>
      </c>
      <c r="AA9" s="47"/>
      <c r="AB9" s="47"/>
    </row>
    <row r="10" spans="1:41" ht="27" customHeight="1">
      <c r="B10" s="25">
        <v>0.36458333333333331</v>
      </c>
      <c r="C10" s="25" t="s">
        <v>55</v>
      </c>
      <c r="D10" s="25">
        <v>0.69791666666666663</v>
      </c>
      <c r="E10" s="47" t="s">
        <v>71</v>
      </c>
      <c r="F10" s="47" t="s">
        <v>83</v>
      </c>
      <c r="G10" s="47" t="s">
        <v>145</v>
      </c>
      <c r="H10" s="47" t="s">
        <v>135</v>
      </c>
      <c r="I10" s="47" t="s">
        <v>136</v>
      </c>
      <c r="J10" s="47" t="s">
        <v>126</v>
      </c>
      <c r="K10" s="47" t="s">
        <v>129</v>
      </c>
      <c r="L10" s="47" t="s">
        <v>132</v>
      </c>
      <c r="M10" s="47" t="s">
        <v>147</v>
      </c>
      <c r="N10" s="47" t="s">
        <v>70</v>
      </c>
      <c r="O10" s="47" t="s">
        <v>81</v>
      </c>
      <c r="P10" s="47" t="s">
        <v>72</v>
      </c>
      <c r="Q10" s="47" t="s">
        <v>73</v>
      </c>
      <c r="R10" s="47" t="s">
        <v>74</v>
      </c>
      <c r="S10" s="47" t="s">
        <v>82</v>
      </c>
      <c r="T10" s="47" t="s">
        <v>71</v>
      </c>
      <c r="U10" s="47" t="s">
        <v>144</v>
      </c>
      <c r="V10" s="47" t="s">
        <v>127</v>
      </c>
      <c r="W10" s="47" t="s">
        <v>135</v>
      </c>
      <c r="X10" s="47" t="s">
        <v>136</v>
      </c>
      <c r="Y10" s="47" t="s">
        <v>126</v>
      </c>
      <c r="Z10" s="47" t="s">
        <v>129</v>
      </c>
      <c r="AA10" s="47"/>
      <c r="AB10" s="47"/>
    </row>
    <row r="11" spans="1:41" ht="27" customHeight="1">
      <c r="B11" s="25">
        <v>0.375</v>
      </c>
      <c r="C11" s="25" t="s">
        <v>55</v>
      </c>
      <c r="D11" s="25">
        <v>0.70833333333333337</v>
      </c>
      <c r="E11" s="47" t="s">
        <v>83</v>
      </c>
      <c r="F11" s="47" t="s">
        <v>127</v>
      </c>
      <c r="G11" s="47" t="s">
        <v>130</v>
      </c>
      <c r="H11" s="47" t="s">
        <v>136</v>
      </c>
      <c r="I11" s="47" t="s">
        <v>126</v>
      </c>
      <c r="J11" s="47" t="s">
        <v>138</v>
      </c>
      <c r="K11" s="47" t="s">
        <v>146</v>
      </c>
      <c r="L11" s="47" t="s">
        <v>147</v>
      </c>
      <c r="M11" s="47" t="s">
        <v>70</v>
      </c>
      <c r="N11" s="47" t="s">
        <v>81</v>
      </c>
      <c r="O11" s="47" t="s">
        <v>72</v>
      </c>
      <c r="P11" s="47" t="s">
        <v>73</v>
      </c>
      <c r="Q11" s="47" t="s">
        <v>74</v>
      </c>
      <c r="R11" s="47" t="s">
        <v>82</v>
      </c>
      <c r="S11" s="47" t="s">
        <v>71</v>
      </c>
      <c r="T11" s="47" t="s">
        <v>83</v>
      </c>
      <c r="U11" s="47" t="s">
        <v>127</v>
      </c>
      <c r="V11" s="47" t="s">
        <v>135</v>
      </c>
      <c r="W11" s="47" t="s">
        <v>136</v>
      </c>
      <c r="X11" s="47" t="s">
        <v>126</v>
      </c>
      <c r="Y11" s="47" t="s">
        <v>129</v>
      </c>
      <c r="Z11" s="47" t="s">
        <v>146</v>
      </c>
      <c r="AA11" s="47"/>
      <c r="AB11" s="47"/>
    </row>
    <row r="12" spans="1:41" ht="27" customHeight="1">
      <c r="B12" s="25">
        <v>0.375</v>
      </c>
      <c r="C12" s="25" t="s">
        <v>55</v>
      </c>
      <c r="D12" s="25">
        <v>0.5625</v>
      </c>
      <c r="E12" s="47" t="s">
        <v>80</v>
      </c>
      <c r="F12" s="47" t="s">
        <v>84</v>
      </c>
      <c r="G12" s="47" t="s">
        <v>133</v>
      </c>
      <c r="H12" s="47" t="s">
        <v>126</v>
      </c>
      <c r="I12" s="47" t="s">
        <v>129</v>
      </c>
      <c r="J12" s="47" t="s">
        <v>146</v>
      </c>
      <c r="K12" s="47" t="s">
        <v>147</v>
      </c>
      <c r="L12" s="47" t="s">
        <v>70</v>
      </c>
      <c r="M12" s="47" t="s">
        <v>81</v>
      </c>
      <c r="N12" s="47" t="s">
        <v>72</v>
      </c>
      <c r="O12" s="47" t="s">
        <v>73</v>
      </c>
      <c r="P12" s="47" t="s">
        <v>74</v>
      </c>
      <c r="Q12" s="47" t="s">
        <v>82</v>
      </c>
      <c r="R12" s="47" t="s">
        <v>71</v>
      </c>
      <c r="S12" s="47" t="s">
        <v>83</v>
      </c>
      <c r="T12" s="47" t="s">
        <v>80</v>
      </c>
      <c r="U12" s="47" t="s">
        <v>135</v>
      </c>
      <c r="V12" s="47" t="s">
        <v>136</v>
      </c>
      <c r="W12" s="47" t="s">
        <v>126</v>
      </c>
      <c r="X12" s="47" t="s">
        <v>129</v>
      </c>
      <c r="Y12" s="47" t="s">
        <v>146</v>
      </c>
      <c r="Z12" s="47" t="s">
        <v>147</v>
      </c>
      <c r="AA12" s="47"/>
      <c r="AB12" s="47"/>
    </row>
    <row r="13" spans="1:41" ht="27" customHeight="1">
      <c r="B13" s="25">
        <v>0.38541666666666669</v>
      </c>
      <c r="C13" s="25" t="s">
        <v>55</v>
      </c>
      <c r="D13" s="25">
        <v>0.71875</v>
      </c>
      <c r="E13" s="47" t="s">
        <v>84</v>
      </c>
      <c r="F13" s="47" t="s">
        <v>75</v>
      </c>
      <c r="G13" s="47" t="s">
        <v>126</v>
      </c>
      <c r="H13" s="47" t="s">
        <v>129</v>
      </c>
      <c r="I13" s="47" t="s">
        <v>146</v>
      </c>
      <c r="J13" s="47" t="s">
        <v>147</v>
      </c>
      <c r="K13" s="47" t="s">
        <v>70</v>
      </c>
      <c r="L13" s="47" t="s">
        <v>81</v>
      </c>
      <c r="M13" s="47" t="s">
        <v>72</v>
      </c>
      <c r="N13" s="47" t="s">
        <v>73</v>
      </c>
      <c r="O13" s="47" t="s">
        <v>74</v>
      </c>
      <c r="P13" s="47" t="s">
        <v>82</v>
      </c>
      <c r="Q13" s="47" t="s">
        <v>71</v>
      </c>
      <c r="R13" s="47" t="s">
        <v>83</v>
      </c>
      <c r="S13" s="47" t="s">
        <v>80</v>
      </c>
      <c r="T13" s="47" t="s">
        <v>84</v>
      </c>
      <c r="U13" s="47" t="s">
        <v>133</v>
      </c>
      <c r="V13" s="47" t="s">
        <v>126</v>
      </c>
      <c r="W13" s="47" t="s">
        <v>129</v>
      </c>
      <c r="X13" s="47" t="s">
        <v>146</v>
      </c>
      <c r="Y13" s="47" t="s">
        <v>147</v>
      </c>
      <c r="Z13" s="47" t="s">
        <v>139</v>
      </c>
      <c r="AA13" s="47"/>
      <c r="AB13" s="47"/>
    </row>
    <row r="14" spans="1:41" ht="27" customHeight="1">
      <c r="B14" s="25">
        <v>0.39583333333333331</v>
      </c>
      <c r="C14" s="25" t="s">
        <v>55</v>
      </c>
      <c r="D14" s="25">
        <v>0.72916666666666663</v>
      </c>
      <c r="E14" s="47" t="s">
        <v>75</v>
      </c>
      <c r="F14" s="47" t="s">
        <v>126</v>
      </c>
      <c r="G14" s="47" t="s">
        <v>129</v>
      </c>
      <c r="H14" s="47" t="s">
        <v>132</v>
      </c>
      <c r="I14" s="47" t="s">
        <v>147</v>
      </c>
      <c r="J14" s="47" t="s">
        <v>70</v>
      </c>
      <c r="K14" s="47" t="s">
        <v>81</v>
      </c>
      <c r="L14" s="47" t="s">
        <v>72</v>
      </c>
      <c r="M14" s="47" t="s">
        <v>73</v>
      </c>
      <c r="N14" s="47" t="s">
        <v>74</v>
      </c>
      <c r="O14" s="47" t="s">
        <v>82</v>
      </c>
      <c r="P14" s="47" t="s">
        <v>71</v>
      </c>
      <c r="Q14" s="47" t="s">
        <v>83</v>
      </c>
      <c r="R14" s="47" t="s">
        <v>80</v>
      </c>
      <c r="S14" s="47" t="s">
        <v>84</v>
      </c>
      <c r="T14" s="47" t="s">
        <v>75</v>
      </c>
      <c r="U14" s="47" t="s">
        <v>126</v>
      </c>
      <c r="V14" s="47" t="s">
        <v>129</v>
      </c>
      <c r="W14" s="47" t="s">
        <v>146</v>
      </c>
      <c r="X14" s="47" t="s">
        <v>125</v>
      </c>
      <c r="Y14" s="47" t="s">
        <v>150</v>
      </c>
      <c r="Z14" s="47" t="s">
        <v>140</v>
      </c>
      <c r="AA14" s="47"/>
      <c r="AB14" s="47"/>
    </row>
    <row r="15" spans="1:41" ht="27" customHeight="1">
      <c r="B15" s="25">
        <v>0.41666666666666669</v>
      </c>
      <c r="C15" s="25" t="s">
        <v>55</v>
      </c>
      <c r="D15" s="25">
        <v>0.75</v>
      </c>
      <c r="E15" s="47" t="s">
        <v>76</v>
      </c>
      <c r="F15" s="47" t="s">
        <v>78</v>
      </c>
      <c r="G15" s="47" t="s">
        <v>146</v>
      </c>
      <c r="H15" s="47" t="s">
        <v>147</v>
      </c>
      <c r="I15" s="47" t="s">
        <v>70</v>
      </c>
      <c r="J15" s="47" t="s">
        <v>81</v>
      </c>
      <c r="K15" s="47" t="s">
        <v>72</v>
      </c>
      <c r="L15" s="47" t="s">
        <v>73</v>
      </c>
      <c r="M15" s="47" t="s">
        <v>74</v>
      </c>
      <c r="N15" s="47" t="s">
        <v>82</v>
      </c>
      <c r="O15" s="47" t="s">
        <v>71</v>
      </c>
      <c r="P15" s="47" t="s">
        <v>83</v>
      </c>
      <c r="Q15" s="47" t="s">
        <v>80</v>
      </c>
      <c r="R15" s="47" t="s">
        <v>84</v>
      </c>
      <c r="S15" s="47" t="s">
        <v>75</v>
      </c>
      <c r="T15" s="47" t="s">
        <v>76</v>
      </c>
      <c r="U15" s="47" t="s">
        <v>129</v>
      </c>
      <c r="V15" s="47" t="s">
        <v>146</v>
      </c>
      <c r="W15" s="47" t="s">
        <v>147</v>
      </c>
      <c r="X15" s="47" t="s">
        <v>139</v>
      </c>
      <c r="Y15" s="47" t="s">
        <v>140</v>
      </c>
      <c r="Z15" s="47" t="s">
        <v>72</v>
      </c>
      <c r="AA15" s="47"/>
      <c r="AB15" s="47"/>
    </row>
    <row r="16" spans="1:41" ht="27" customHeight="1">
      <c r="B16" s="25">
        <v>0.42708333333333331</v>
      </c>
      <c r="C16" s="25" t="s">
        <v>55</v>
      </c>
      <c r="D16" s="25">
        <v>0.76041666666666663</v>
      </c>
      <c r="E16" s="47" t="s">
        <v>78</v>
      </c>
      <c r="F16" s="47" t="s">
        <v>79</v>
      </c>
      <c r="G16" s="47" t="s">
        <v>147</v>
      </c>
      <c r="H16" s="47" t="s">
        <v>70</v>
      </c>
      <c r="I16" s="47" t="s">
        <v>81</v>
      </c>
      <c r="J16" s="47" t="s">
        <v>72</v>
      </c>
      <c r="K16" s="47" t="s">
        <v>73</v>
      </c>
      <c r="L16" s="47" t="s">
        <v>74</v>
      </c>
      <c r="M16" s="47" t="s">
        <v>82</v>
      </c>
      <c r="N16" s="47" t="s">
        <v>71</v>
      </c>
      <c r="O16" s="47" t="s">
        <v>83</v>
      </c>
      <c r="P16" s="47" t="s">
        <v>80</v>
      </c>
      <c r="Q16" s="47" t="s">
        <v>84</v>
      </c>
      <c r="R16" s="47" t="s">
        <v>75</v>
      </c>
      <c r="S16" s="47" t="s">
        <v>76</v>
      </c>
      <c r="T16" s="47" t="s">
        <v>78</v>
      </c>
      <c r="U16" s="47" t="s">
        <v>146</v>
      </c>
      <c r="V16" s="47" t="s">
        <v>125</v>
      </c>
      <c r="W16" s="47" t="s">
        <v>150</v>
      </c>
      <c r="X16" s="47" t="s">
        <v>140</v>
      </c>
      <c r="Y16" s="47" t="s">
        <v>72</v>
      </c>
      <c r="Z16" s="47" t="s">
        <v>73</v>
      </c>
      <c r="AA16" s="47"/>
      <c r="AB16" s="47"/>
    </row>
    <row r="17" spans="2:28" ht="27" customHeight="1">
      <c r="B17" s="25">
        <v>0.4375</v>
      </c>
      <c r="C17" s="25" t="s">
        <v>55</v>
      </c>
      <c r="D17" s="25">
        <v>0.77083333333333337</v>
      </c>
      <c r="E17" s="47" t="s">
        <v>79</v>
      </c>
      <c r="F17" s="47" t="s">
        <v>125</v>
      </c>
      <c r="G17" s="47" t="s">
        <v>70</v>
      </c>
      <c r="H17" s="47" t="s">
        <v>81</v>
      </c>
      <c r="I17" s="47" t="s">
        <v>72</v>
      </c>
      <c r="J17" s="47" t="s">
        <v>73</v>
      </c>
      <c r="K17" s="47" t="s">
        <v>74</v>
      </c>
      <c r="L17" s="47" t="s">
        <v>82</v>
      </c>
      <c r="M17" s="47" t="s">
        <v>71</v>
      </c>
      <c r="N17" s="47" t="s">
        <v>83</v>
      </c>
      <c r="O17" s="47" t="s">
        <v>80</v>
      </c>
      <c r="P17" s="47" t="s">
        <v>84</v>
      </c>
      <c r="Q17" s="47" t="s">
        <v>75</v>
      </c>
      <c r="R17" s="47" t="s">
        <v>76</v>
      </c>
      <c r="S17" s="47" t="s">
        <v>78</v>
      </c>
      <c r="T17" s="47" t="s">
        <v>79</v>
      </c>
      <c r="U17" s="47" t="s">
        <v>147</v>
      </c>
      <c r="V17" s="47" t="s">
        <v>150</v>
      </c>
      <c r="W17" s="47" t="s">
        <v>140</v>
      </c>
      <c r="X17" s="47" t="s">
        <v>72</v>
      </c>
      <c r="Y17" s="47" t="s">
        <v>73</v>
      </c>
      <c r="Z17" s="47" t="s">
        <v>74</v>
      </c>
      <c r="AA17" s="47"/>
      <c r="AB17" s="47"/>
    </row>
    <row r="18" spans="2:28" ht="27" customHeight="1">
      <c r="B18" s="25">
        <v>0.63541666666666663</v>
      </c>
      <c r="C18" s="25" t="s">
        <v>55</v>
      </c>
      <c r="D18" s="25" t="s">
        <v>42</v>
      </c>
      <c r="E18" s="47" t="s">
        <v>77</v>
      </c>
      <c r="F18" s="47" t="s">
        <v>150</v>
      </c>
      <c r="G18" s="47" t="s">
        <v>140</v>
      </c>
      <c r="H18" s="47" t="s">
        <v>141</v>
      </c>
      <c r="I18" s="47" t="s">
        <v>148</v>
      </c>
      <c r="J18" s="47" t="s">
        <v>128</v>
      </c>
      <c r="K18" s="47" t="s">
        <v>131</v>
      </c>
      <c r="L18" s="47" t="s">
        <v>134</v>
      </c>
      <c r="M18" s="47" t="s">
        <v>144</v>
      </c>
      <c r="N18" s="47" t="s">
        <v>145</v>
      </c>
      <c r="O18" s="47" t="s">
        <v>135</v>
      </c>
      <c r="P18" s="47" t="s">
        <v>133</v>
      </c>
      <c r="Q18" s="47" t="s">
        <v>126</v>
      </c>
      <c r="R18" s="47" t="s">
        <v>138</v>
      </c>
      <c r="S18" s="47" t="s">
        <v>146</v>
      </c>
      <c r="T18" s="47" t="s">
        <v>147</v>
      </c>
      <c r="U18" s="47" t="s">
        <v>139</v>
      </c>
      <c r="V18" s="47" t="s">
        <v>140</v>
      </c>
      <c r="W18" s="47" t="s">
        <v>151</v>
      </c>
      <c r="X18" s="47" t="s">
        <v>148</v>
      </c>
      <c r="Y18" s="47" t="s">
        <v>128</v>
      </c>
      <c r="Z18" s="47" t="s">
        <v>131</v>
      </c>
      <c r="AA18" s="47"/>
      <c r="AB18" s="47"/>
    </row>
    <row r="19" spans="2:28" ht="18" customHeight="1">
      <c r="B19" s="6"/>
      <c r="C19" s="6"/>
      <c r="D19" s="6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</row>
    <row r="20" spans="2:28" ht="18" customHeight="1"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</row>
    <row r="21" spans="2:28" ht="18" customHeight="1"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  <c r="AA21" s="47"/>
      <c r="AB21" s="47"/>
    </row>
    <row r="22" spans="2:28" ht="18" customHeight="1">
      <c r="F22" s="29"/>
      <c r="G22" s="28"/>
      <c r="H22" s="26"/>
      <c r="I22" s="26"/>
      <c r="J22" s="27"/>
      <c r="K22" s="26"/>
      <c r="L22" s="26"/>
      <c r="M22" s="27"/>
      <c r="N22" s="26"/>
      <c r="O22" s="26"/>
      <c r="P22" s="27"/>
      <c r="Q22" s="26"/>
      <c r="R22" s="26"/>
      <c r="S22" s="27"/>
      <c r="T22" s="26"/>
      <c r="U22" s="26"/>
      <c r="V22" s="27"/>
      <c r="W22" s="26"/>
      <c r="X22" s="26"/>
    </row>
    <row r="23" spans="2:28" ht="18" customHeight="1"/>
  </sheetData>
  <mergeCells count="3">
    <mergeCell ref="G2:I2"/>
    <mergeCell ref="L2:N2"/>
    <mergeCell ref="B3:D3"/>
  </mergeCells>
  <phoneticPr fontId="1"/>
  <conditionalFormatting sqref="Y3:AA3">
    <cfRule type="expression" dxfId="11" priority="2">
      <formula>OR(Y3:AV18&lt;&gt;"")</formula>
    </cfRule>
  </conditionalFormatting>
  <conditionalFormatting sqref="D3:X3 E19:AB21 D4:AB18">
    <cfRule type="expression" dxfId="10" priority="3">
      <formula>OR(D3:AB18&lt;&gt;"")</formula>
    </cfRule>
  </conditionalFormatting>
  <conditionalFormatting sqref="B3:C18">
    <cfRule type="expression" dxfId="9" priority="4">
      <formula>OR(B3:AA18&lt;&gt;"")</formula>
    </cfRule>
  </conditionalFormatting>
  <dataValidations count="4">
    <dataValidation type="list" allowBlank="1" showInputMessage="1" showErrorMessage="1" sqref="D4:D18">
      <formula1>"9:00,9:15,9:30,9:45,10:00,10:15,10:30,10:45,11:00,11:15,11:30,11:45,12:00,12:15,12:30,12:45,13:00,13:15,13:30,13:45,14:00,14:15,14:30,14:45,15:00,15:15,15:30,15:45,16:00,16:15,16:30,16:45,17:00,17:15,17:30,17:45,18:00,18:15,18:30,遅番"</formula1>
    </dataValidation>
    <dataValidation type="list" allowBlank="1" showInputMessage="1" showErrorMessage="1" sqref="B4:B18">
      <formula1>"7:00,7:15,7:30,7:45,8:00,8:15,8:30,8:45,9:00,9:15,9:30,9:45,10:00,10:15,10:30,15:00,15:15,15:30,15:45,16:00"</formula1>
    </dataValidation>
    <dataValidation type="list" allowBlank="1" showInputMessage="1" showErrorMessage="1" sqref="P2">
      <formula1>"1,2,3,4,5,6,7,8,9,10,11,12"</formula1>
    </dataValidation>
    <dataValidation type="list" allowBlank="1" showInputMessage="1" showErrorMessage="1" sqref="E4:AB21">
      <formula1>保育士</formula1>
    </dataValidation>
  </dataValidations>
  <pageMargins left="0" right="0.70866141732283472" top="0" bottom="0.74803149606299213" header="0.31496062992125984" footer="0.31496062992125984"/>
  <pageSetup paperSize="9" orientation="landscape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3119" r:id="rId4" name="CommandButton1">
          <controlPr defaultSize="0" autoLine="0" r:id="rId5">
            <anchor moveWithCells="1">
              <from>
                <xdr:col>0</xdr:col>
                <xdr:colOff>9525</xdr:colOff>
                <xdr:row>2</xdr:row>
                <xdr:rowOff>19050</xdr:rowOff>
              </from>
              <to>
                <xdr:col>0</xdr:col>
                <xdr:colOff>561975</xdr:colOff>
                <xdr:row>3</xdr:row>
                <xdr:rowOff>0</xdr:rowOff>
              </to>
            </anchor>
          </controlPr>
        </control>
      </mc:Choice>
      <mc:Fallback>
        <control shapeId="3119" r:id="rId4" name="CommandButton1"/>
      </mc:Fallback>
    </mc:AlternateContent>
    <mc:AlternateContent xmlns:mc="http://schemas.openxmlformats.org/markup-compatibility/2006">
      <mc:Choice Requires="x14">
        <control shapeId="3122" r:id="rId6" name="CheckBox1">
          <controlPr defaultSize="0" autoLine="0" r:id="rId7">
            <anchor moveWithCells="1">
              <from>
                <xdr:col>0</xdr:col>
                <xdr:colOff>209550</xdr:colOff>
                <xdr:row>3</xdr:row>
                <xdr:rowOff>133350</xdr:rowOff>
              </from>
              <to>
                <xdr:col>0</xdr:col>
                <xdr:colOff>352425</xdr:colOff>
                <xdr:row>3</xdr:row>
                <xdr:rowOff>257175</xdr:rowOff>
              </to>
            </anchor>
          </controlPr>
        </control>
      </mc:Choice>
      <mc:Fallback>
        <control shapeId="3122" r:id="rId6" name="CheckBox1"/>
      </mc:Fallback>
    </mc:AlternateContent>
    <mc:AlternateContent xmlns:mc="http://schemas.openxmlformats.org/markup-compatibility/2006">
      <mc:Choice Requires="x14">
        <control shapeId="3124" r:id="rId8" name="CheckBox2">
          <controlPr defaultSize="0" autoLine="0" r:id="rId9">
            <anchor moveWithCells="1">
              <from>
                <xdr:col>0</xdr:col>
                <xdr:colOff>209550</xdr:colOff>
                <xdr:row>4</xdr:row>
                <xdr:rowOff>133350</xdr:rowOff>
              </from>
              <to>
                <xdr:col>0</xdr:col>
                <xdr:colOff>352425</xdr:colOff>
                <xdr:row>4</xdr:row>
                <xdr:rowOff>257175</xdr:rowOff>
              </to>
            </anchor>
          </controlPr>
        </control>
      </mc:Choice>
      <mc:Fallback>
        <control shapeId="3124" r:id="rId8" name="CheckBox2"/>
      </mc:Fallback>
    </mc:AlternateContent>
    <mc:AlternateContent xmlns:mc="http://schemas.openxmlformats.org/markup-compatibility/2006">
      <mc:Choice Requires="x14">
        <control shapeId="3125" r:id="rId10" name="CheckBox3">
          <controlPr defaultSize="0" autoLine="0" r:id="rId11">
            <anchor moveWithCells="1">
              <from>
                <xdr:col>0</xdr:col>
                <xdr:colOff>209550</xdr:colOff>
                <xdr:row>5</xdr:row>
                <xdr:rowOff>133350</xdr:rowOff>
              </from>
              <to>
                <xdr:col>0</xdr:col>
                <xdr:colOff>352425</xdr:colOff>
                <xdr:row>5</xdr:row>
                <xdr:rowOff>257175</xdr:rowOff>
              </to>
            </anchor>
          </controlPr>
        </control>
      </mc:Choice>
      <mc:Fallback>
        <control shapeId="3125" r:id="rId10" name="CheckBox3"/>
      </mc:Fallback>
    </mc:AlternateContent>
    <mc:AlternateContent xmlns:mc="http://schemas.openxmlformats.org/markup-compatibility/2006">
      <mc:Choice Requires="x14">
        <control shapeId="3126" r:id="rId12" name="CheckBox4">
          <controlPr defaultSize="0" autoLine="0" r:id="rId13">
            <anchor moveWithCells="1">
              <from>
                <xdr:col>0</xdr:col>
                <xdr:colOff>209550</xdr:colOff>
                <xdr:row>6</xdr:row>
                <xdr:rowOff>133350</xdr:rowOff>
              </from>
              <to>
                <xdr:col>0</xdr:col>
                <xdr:colOff>352425</xdr:colOff>
                <xdr:row>6</xdr:row>
                <xdr:rowOff>257175</xdr:rowOff>
              </to>
            </anchor>
          </controlPr>
        </control>
      </mc:Choice>
      <mc:Fallback>
        <control shapeId="3126" r:id="rId12" name="CheckBox4"/>
      </mc:Fallback>
    </mc:AlternateContent>
    <mc:AlternateContent xmlns:mc="http://schemas.openxmlformats.org/markup-compatibility/2006">
      <mc:Choice Requires="x14">
        <control shapeId="3127" r:id="rId14" name="CheckBox5">
          <controlPr defaultSize="0" autoLine="0" r:id="rId15">
            <anchor moveWithCells="1">
              <from>
                <xdr:col>0</xdr:col>
                <xdr:colOff>209550</xdr:colOff>
                <xdr:row>7</xdr:row>
                <xdr:rowOff>133350</xdr:rowOff>
              </from>
              <to>
                <xdr:col>0</xdr:col>
                <xdr:colOff>352425</xdr:colOff>
                <xdr:row>7</xdr:row>
                <xdr:rowOff>257175</xdr:rowOff>
              </to>
            </anchor>
          </controlPr>
        </control>
      </mc:Choice>
      <mc:Fallback>
        <control shapeId="3127" r:id="rId14" name="CheckBox5"/>
      </mc:Fallback>
    </mc:AlternateContent>
    <mc:AlternateContent xmlns:mc="http://schemas.openxmlformats.org/markup-compatibility/2006">
      <mc:Choice Requires="x14">
        <control shapeId="3128" r:id="rId16" name="CheckBox6">
          <controlPr defaultSize="0" autoLine="0" r:id="rId17">
            <anchor moveWithCells="1">
              <from>
                <xdr:col>0</xdr:col>
                <xdr:colOff>209550</xdr:colOff>
                <xdr:row>8</xdr:row>
                <xdr:rowOff>133350</xdr:rowOff>
              </from>
              <to>
                <xdr:col>0</xdr:col>
                <xdr:colOff>352425</xdr:colOff>
                <xdr:row>8</xdr:row>
                <xdr:rowOff>257175</xdr:rowOff>
              </to>
            </anchor>
          </controlPr>
        </control>
      </mc:Choice>
      <mc:Fallback>
        <control shapeId="3128" r:id="rId16" name="CheckBox6"/>
      </mc:Fallback>
    </mc:AlternateContent>
    <mc:AlternateContent xmlns:mc="http://schemas.openxmlformats.org/markup-compatibility/2006">
      <mc:Choice Requires="x14">
        <control shapeId="3129" r:id="rId18" name="CheckBox7">
          <controlPr defaultSize="0" autoLine="0" r:id="rId19">
            <anchor moveWithCells="1">
              <from>
                <xdr:col>0</xdr:col>
                <xdr:colOff>209550</xdr:colOff>
                <xdr:row>9</xdr:row>
                <xdr:rowOff>133350</xdr:rowOff>
              </from>
              <to>
                <xdr:col>0</xdr:col>
                <xdr:colOff>352425</xdr:colOff>
                <xdr:row>9</xdr:row>
                <xdr:rowOff>257175</xdr:rowOff>
              </to>
            </anchor>
          </controlPr>
        </control>
      </mc:Choice>
      <mc:Fallback>
        <control shapeId="3129" r:id="rId18" name="CheckBox7"/>
      </mc:Fallback>
    </mc:AlternateContent>
    <mc:AlternateContent xmlns:mc="http://schemas.openxmlformats.org/markup-compatibility/2006">
      <mc:Choice Requires="x14">
        <control shapeId="3130" r:id="rId20" name="CheckBox8">
          <controlPr defaultSize="0" autoLine="0" r:id="rId21">
            <anchor moveWithCells="1">
              <from>
                <xdr:col>0</xdr:col>
                <xdr:colOff>209550</xdr:colOff>
                <xdr:row>10</xdr:row>
                <xdr:rowOff>133350</xdr:rowOff>
              </from>
              <to>
                <xdr:col>0</xdr:col>
                <xdr:colOff>352425</xdr:colOff>
                <xdr:row>10</xdr:row>
                <xdr:rowOff>257175</xdr:rowOff>
              </to>
            </anchor>
          </controlPr>
        </control>
      </mc:Choice>
      <mc:Fallback>
        <control shapeId="3130" r:id="rId20" name="CheckBox8"/>
      </mc:Fallback>
    </mc:AlternateContent>
    <mc:AlternateContent xmlns:mc="http://schemas.openxmlformats.org/markup-compatibility/2006">
      <mc:Choice Requires="x14">
        <control shapeId="3131" r:id="rId22" name="CheckBox9">
          <controlPr defaultSize="0" autoLine="0" r:id="rId23">
            <anchor moveWithCells="1">
              <from>
                <xdr:col>0</xdr:col>
                <xdr:colOff>209550</xdr:colOff>
                <xdr:row>11</xdr:row>
                <xdr:rowOff>133350</xdr:rowOff>
              </from>
              <to>
                <xdr:col>0</xdr:col>
                <xdr:colOff>352425</xdr:colOff>
                <xdr:row>11</xdr:row>
                <xdr:rowOff>257175</xdr:rowOff>
              </to>
            </anchor>
          </controlPr>
        </control>
      </mc:Choice>
      <mc:Fallback>
        <control shapeId="3131" r:id="rId22" name="CheckBox9"/>
      </mc:Fallback>
    </mc:AlternateContent>
    <mc:AlternateContent xmlns:mc="http://schemas.openxmlformats.org/markup-compatibility/2006">
      <mc:Choice Requires="x14">
        <control shapeId="3132" r:id="rId24" name="CheckBox10">
          <controlPr defaultSize="0" autoLine="0" r:id="rId25">
            <anchor moveWithCells="1">
              <from>
                <xdr:col>0</xdr:col>
                <xdr:colOff>209550</xdr:colOff>
                <xdr:row>12</xdr:row>
                <xdr:rowOff>133350</xdr:rowOff>
              </from>
              <to>
                <xdr:col>0</xdr:col>
                <xdr:colOff>352425</xdr:colOff>
                <xdr:row>12</xdr:row>
                <xdr:rowOff>257175</xdr:rowOff>
              </to>
            </anchor>
          </controlPr>
        </control>
      </mc:Choice>
      <mc:Fallback>
        <control shapeId="3132" r:id="rId24" name="CheckBox10"/>
      </mc:Fallback>
    </mc:AlternateContent>
    <mc:AlternateContent xmlns:mc="http://schemas.openxmlformats.org/markup-compatibility/2006">
      <mc:Choice Requires="x14">
        <control shapeId="3133" r:id="rId26" name="CheckBox11">
          <controlPr defaultSize="0" autoLine="0" r:id="rId27">
            <anchor moveWithCells="1">
              <from>
                <xdr:col>0</xdr:col>
                <xdr:colOff>209550</xdr:colOff>
                <xdr:row>13</xdr:row>
                <xdr:rowOff>133350</xdr:rowOff>
              </from>
              <to>
                <xdr:col>0</xdr:col>
                <xdr:colOff>352425</xdr:colOff>
                <xdr:row>13</xdr:row>
                <xdr:rowOff>257175</xdr:rowOff>
              </to>
            </anchor>
          </controlPr>
        </control>
      </mc:Choice>
      <mc:Fallback>
        <control shapeId="3133" r:id="rId26" name="CheckBox11"/>
      </mc:Fallback>
    </mc:AlternateContent>
    <mc:AlternateContent xmlns:mc="http://schemas.openxmlformats.org/markup-compatibility/2006">
      <mc:Choice Requires="x14">
        <control shapeId="3134" r:id="rId28" name="CheckBox12">
          <controlPr defaultSize="0" autoLine="0" r:id="rId29">
            <anchor moveWithCells="1">
              <from>
                <xdr:col>0</xdr:col>
                <xdr:colOff>209550</xdr:colOff>
                <xdr:row>14</xdr:row>
                <xdr:rowOff>133350</xdr:rowOff>
              </from>
              <to>
                <xdr:col>0</xdr:col>
                <xdr:colOff>352425</xdr:colOff>
                <xdr:row>14</xdr:row>
                <xdr:rowOff>257175</xdr:rowOff>
              </to>
            </anchor>
          </controlPr>
        </control>
      </mc:Choice>
      <mc:Fallback>
        <control shapeId="3134" r:id="rId28" name="CheckBox12"/>
      </mc:Fallback>
    </mc:AlternateContent>
    <mc:AlternateContent xmlns:mc="http://schemas.openxmlformats.org/markup-compatibility/2006">
      <mc:Choice Requires="x14">
        <control shapeId="3135" r:id="rId30" name="CheckBox13">
          <controlPr defaultSize="0" autoLine="0" r:id="rId31">
            <anchor moveWithCells="1">
              <from>
                <xdr:col>0</xdr:col>
                <xdr:colOff>209550</xdr:colOff>
                <xdr:row>15</xdr:row>
                <xdr:rowOff>133350</xdr:rowOff>
              </from>
              <to>
                <xdr:col>0</xdr:col>
                <xdr:colOff>352425</xdr:colOff>
                <xdr:row>15</xdr:row>
                <xdr:rowOff>257175</xdr:rowOff>
              </to>
            </anchor>
          </controlPr>
        </control>
      </mc:Choice>
      <mc:Fallback>
        <control shapeId="3135" r:id="rId30" name="CheckBox13"/>
      </mc:Fallback>
    </mc:AlternateContent>
    <mc:AlternateContent xmlns:mc="http://schemas.openxmlformats.org/markup-compatibility/2006">
      <mc:Choice Requires="x14">
        <control shapeId="3136" r:id="rId32" name="CheckBox14">
          <controlPr defaultSize="0" autoLine="0" r:id="rId33">
            <anchor moveWithCells="1">
              <from>
                <xdr:col>0</xdr:col>
                <xdr:colOff>209550</xdr:colOff>
                <xdr:row>16</xdr:row>
                <xdr:rowOff>133350</xdr:rowOff>
              </from>
              <to>
                <xdr:col>0</xdr:col>
                <xdr:colOff>352425</xdr:colOff>
                <xdr:row>16</xdr:row>
                <xdr:rowOff>257175</xdr:rowOff>
              </to>
            </anchor>
          </controlPr>
        </control>
      </mc:Choice>
      <mc:Fallback>
        <control shapeId="3136" r:id="rId32" name="CheckBox14"/>
      </mc:Fallback>
    </mc:AlternateContent>
    <mc:AlternateContent xmlns:mc="http://schemas.openxmlformats.org/markup-compatibility/2006">
      <mc:Choice Requires="x14">
        <control shapeId="3137" r:id="rId34" name="CheckBox15">
          <controlPr defaultSize="0" autoLine="0" r:id="rId35">
            <anchor moveWithCells="1">
              <from>
                <xdr:col>0</xdr:col>
                <xdr:colOff>209550</xdr:colOff>
                <xdr:row>17</xdr:row>
                <xdr:rowOff>133350</xdr:rowOff>
              </from>
              <to>
                <xdr:col>0</xdr:col>
                <xdr:colOff>352425</xdr:colOff>
                <xdr:row>17</xdr:row>
                <xdr:rowOff>257175</xdr:rowOff>
              </to>
            </anchor>
          </controlPr>
        </control>
      </mc:Choice>
      <mc:Fallback>
        <control shapeId="3137" r:id="rId34" name="CheckBox1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BK30"/>
  <sheetViews>
    <sheetView tabSelected="1" workbookViewId="0">
      <selection activeCell="Q3" sqref="Q3:R3"/>
    </sheetView>
  </sheetViews>
  <sheetFormatPr defaultColWidth="5.625" defaultRowHeight="18.75"/>
  <cols>
    <col min="5" max="66" width="2.875" customWidth="1"/>
  </cols>
  <sheetData>
    <row r="2" spans="1:56" ht="27.95" customHeight="1">
      <c r="B2" s="39"/>
      <c r="C2" s="39"/>
      <c r="D2" s="39"/>
      <c r="E2" s="38"/>
      <c r="F2" s="33"/>
      <c r="G2" s="88"/>
      <c r="H2" s="88"/>
      <c r="I2" s="88"/>
      <c r="J2" s="37"/>
      <c r="K2" s="36"/>
      <c r="L2" s="87"/>
      <c r="M2" s="87"/>
      <c r="N2" s="87"/>
      <c r="O2" s="34"/>
      <c r="P2" s="35"/>
      <c r="Q2" s="34"/>
      <c r="R2" s="33"/>
      <c r="S2" s="33"/>
      <c r="T2" s="33"/>
      <c r="U2" s="33"/>
      <c r="V2" s="33"/>
      <c r="W2" s="33"/>
      <c r="X2" s="33"/>
      <c r="Y2" s="33"/>
      <c r="Z2" s="33"/>
      <c r="AA2" s="33"/>
    </row>
    <row r="3" spans="1:56" s="86" customFormat="1" ht="36" customHeight="1">
      <c r="B3" s="104" t="s">
        <v>94</v>
      </c>
      <c r="C3" s="104"/>
      <c r="D3" s="104"/>
      <c r="E3" s="108">
        <f>WORKDAY(DATE(勤務表!$L$2,勤務表!$P$2,0),1,祝日データ!$A$1:$A$1000)</f>
        <v>42583</v>
      </c>
      <c r="F3" s="108"/>
      <c r="G3" s="101">
        <f>IF(E3="","",IF(MONTH(WORKDAY(E$3,1,祝日データ!$A$1:$A$1000))&lt;&gt;勤務表!$P$2,"",WORKDAY(E$3,1,祝日データ!$A$1:$A$1000)))</f>
        <v>42584</v>
      </c>
      <c r="H3" s="101"/>
      <c r="I3" s="101">
        <f>IF(G3="","",IF(MONTH(WORKDAY(G$3,1,祝日データ!$A$1:$A$1000))&lt;&gt;勤務表!$P$2,"",WORKDAY(G$3,1,祝日データ!$A$1:$A$1000)))</f>
        <v>42585</v>
      </c>
      <c r="J3" s="101"/>
      <c r="K3" s="101">
        <f>IF(I3="","",IF(MONTH(WORKDAY(I$3,1,祝日データ!$A$1:$A$1000))&lt;&gt;勤務表!$P$2,"",WORKDAY(I$3,1,祝日データ!$A$1:$A$1000)))</f>
        <v>42586</v>
      </c>
      <c r="L3" s="101"/>
      <c r="M3" s="101">
        <f>IF(K3="","",IF(MONTH(WORKDAY(K$3,1,祝日データ!$A$1:$A$1000))&lt;&gt;勤務表!$P$2,"",WORKDAY(K$3,1,祝日データ!$A$1:$A$1000)))</f>
        <v>42587</v>
      </c>
      <c r="N3" s="101"/>
      <c r="O3" s="101">
        <f>IF(M3="","",IF(MONTH(WORKDAY(M$3,1,祝日データ!$A$1:$A$1000))&lt;&gt;勤務表!$P$2,"",WORKDAY(M$3,1,祝日データ!$A$1:$A$1000)))</f>
        <v>42590</v>
      </c>
      <c r="P3" s="101"/>
      <c r="Q3" s="101">
        <f>IF(O3="","",IF(MONTH(WORKDAY(O$3,1,祝日データ!$A$1:$A$1000))&lt;&gt;勤務表!$P$2,"",WORKDAY(O$3,1,祝日データ!$A$1:$A$1000)))</f>
        <v>42591</v>
      </c>
      <c r="R3" s="101"/>
      <c r="S3" s="101">
        <f>IF(Q3="","",IF(MONTH(WORKDAY(Q$3,1,祝日データ!$A$1:$A$1000))&lt;&gt;勤務表!$P$2,"",WORKDAY(Q$3,1,祝日データ!$A$1:$A$1000)))</f>
        <v>42592</v>
      </c>
      <c r="T3" s="101"/>
      <c r="U3" s="101">
        <f>IF(S3="","",IF(MONTH(WORKDAY(S$3,1,祝日データ!$A$1:$A$1000))&lt;&gt;勤務表!$P$2,"",WORKDAY(S$3,1,祝日データ!$A$1:$A$1000)))</f>
        <v>42594</v>
      </c>
      <c r="V3" s="101"/>
      <c r="W3" s="101">
        <f>IF(U3="","",IF(MONTH(WORKDAY(U$3,1,祝日データ!$A$1:$A$1000))&lt;&gt;勤務表!$P$2,"",WORKDAY(U$3,1,祝日データ!$A$1:$A$1000)))</f>
        <v>42597</v>
      </c>
      <c r="X3" s="101"/>
      <c r="Y3" s="101">
        <f>IF(W3="","",IF(MONTH(WORKDAY(W$3,1,祝日データ!$A$1:$A$1000))&lt;&gt;勤務表!$P$2,"",WORKDAY(W$3,1,祝日データ!$A$1:$A$1000)))</f>
        <v>42598</v>
      </c>
      <c r="Z3" s="101"/>
      <c r="AA3" s="101">
        <f>IF(Y3="","",IF(MONTH(WORKDAY(Y$3,1,祝日データ!$A$1:$A$1000))&lt;&gt;勤務表!$P$2,"",WORKDAY(Y$3,1,祝日データ!$A$1:$A$1000)))</f>
        <v>42599</v>
      </c>
      <c r="AB3" s="101"/>
      <c r="AC3" s="101">
        <f>IF(AA3="","",IF(MONTH(WORKDAY(AA$3,1,祝日データ!$A$1:$A$1000))&lt;&gt;勤務表!$P$2,"",WORKDAY(AA$3,1,祝日データ!$A$1:$A$1000)))</f>
        <v>42600</v>
      </c>
      <c r="AD3" s="101"/>
      <c r="AE3" s="101">
        <f>IF(AC3="","",IF(MONTH(WORKDAY(AC$3,1,祝日データ!$A$1:$A$1000))&lt;&gt;勤務表!$P$2,"",WORKDAY(AC$3,1,祝日データ!$A$1:$A$1000)))</f>
        <v>42601</v>
      </c>
      <c r="AF3" s="101"/>
      <c r="AG3" s="101">
        <f>IF(AE3="","",IF(MONTH(WORKDAY(AE$3,1,祝日データ!$A$1:$A$1000))&lt;&gt;勤務表!$P$2,"",WORKDAY(AE$3,1,祝日データ!$A$1:$A$1000)))</f>
        <v>42604</v>
      </c>
      <c r="AH3" s="101"/>
      <c r="AI3" s="101">
        <f>IF(AG3="","",IF(MONTH(WORKDAY(AG$3,1,祝日データ!$A$1:$A$1000))&lt;&gt;勤務表!$P$2,"",WORKDAY(AG$3,1,祝日データ!$A$1:$A$1000)))</f>
        <v>42605</v>
      </c>
      <c r="AJ3" s="101"/>
      <c r="AK3" s="101">
        <f>IF(AI3="","",IF(MONTH(WORKDAY(AI$3,1,祝日データ!$A$1:$A$1000))&lt;&gt;勤務表!$P$2,"",WORKDAY(AI$3,1,祝日データ!$A$1:$A$1000)))</f>
        <v>42606</v>
      </c>
      <c r="AL3" s="101"/>
      <c r="AM3" s="101">
        <f>IF(AK3="","",IF(MONTH(WORKDAY(AK$3,1,祝日データ!$A$1:$A$1000))&lt;&gt;勤務表!$P$2,"",WORKDAY(AK$3,1,祝日データ!$A$1:$A$1000)))</f>
        <v>42607</v>
      </c>
      <c r="AN3" s="101"/>
      <c r="AO3" s="101">
        <f>IF(AM3="","",IF(MONTH(WORKDAY(AM$3,1,祝日データ!$A$1:$A$1000))&lt;&gt;勤務表!$P$2,"",WORKDAY(AM$3,1,祝日データ!$A$1:$A$1000)))</f>
        <v>42608</v>
      </c>
      <c r="AP3" s="101"/>
      <c r="AQ3" s="101">
        <f>IF(AO3="","",IF(MONTH(WORKDAY(AO$3,1,祝日データ!$A$1:$A$1000))&lt;&gt;勤務表!$P$2,"",WORKDAY(AO$3,1,祝日データ!$A$1:$A$1000)))</f>
        <v>42611</v>
      </c>
      <c r="AR3" s="101"/>
      <c r="AS3" s="101">
        <f>IF(AQ3="","",IF(MONTH(WORKDAY(AQ$3,1,祝日データ!$A$1:$A$1000))&lt;&gt;勤務表!$P$2,"",WORKDAY(AQ$3,1,祝日データ!$A$1:$A$1000)))</f>
        <v>42612</v>
      </c>
      <c r="AT3" s="101"/>
      <c r="AU3" s="101">
        <f>IF(AS3="","",IF(MONTH(WORKDAY(AS$3,1,祝日データ!$A$1:$A$1000))&lt;&gt;勤務表!$P$2,"",WORKDAY(AS$3,1,祝日データ!$A$1:$A$1000)))</f>
        <v>42613</v>
      </c>
      <c r="AV3" s="101"/>
      <c r="AW3" s="101" t="str">
        <f>IF(AU3="","",IF(MONTH(WORKDAY(AU$3,1,祝日データ!$A$1:$A$1000))&lt;&gt;勤務表!$P$2,"",WORKDAY(AU$3,1,祝日データ!$A$1:$A$1000)))</f>
        <v/>
      </c>
      <c r="AX3" s="101"/>
      <c r="AY3" s="101" t="str">
        <f>IF(AW3="","",IF(MONTH(WORKDAY(AW$3,1,祝日データ!$A$1:$A$1000))&lt;&gt;勤務表!$P$2,"",WORKDAY(AW$3,1,祝日データ!$A$1:$A$1000)))</f>
        <v/>
      </c>
      <c r="AZ3" s="101"/>
      <c r="BA3" s="101" t="str">
        <f>IF(AY3="","",IF(MONTH(WORKDAY(AY$3,1,祝日データ!$A$1:$A$1000))&lt;&gt;勤務表!$P$2,"",WORKDAY(AY$3,1,祝日データ!$A$1:$A$1000)))</f>
        <v/>
      </c>
      <c r="BB3" s="101"/>
      <c r="BC3" s="112"/>
      <c r="BD3" s="113"/>
    </row>
    <row r="5" spans="1:56" ht="19.5" thickBot="1"/>
    <row r="6" spans="1:56" ht="32.1" customHeight="1" thickBot="1">
      <c r="B6" s="105" t="s">
        <v>93</v>
      </c>
      <c r="C6" s="106"/>
      <c r="D6" s="107"/>
      <c r="E6" s="102">
        <v>0.29166666666666669</v>
      </c>
      <c r="F6" s="103"/>
      <c r="G6" s="103"/>
      <c r="H6" s="103"/>
      <c r="I6" s="102">
        <v>0.33333333333333298</v>
      </c>
      <c r="J6" s="103"/>
      <c r="K6" s="103"/>
      <c r="L6" s="103"/>
      <c r="M6" s="102">
        <v>0.375</v>
      </c>
      <c r="N6" s="103"/>
      <c r="O6" s="103"/>
      <c r="P6" s="103"/>
      <c r="Q6" s="102">
        <v>0.41666666666666702</v>
      </c>
      <c r="R6" s="103"/>
      <c r="S6" s="103"/>
      <c r="T6" s="103"/>
      <c r="U6" s="102">
        <v>0.45833333333333298</v>
      </c>
      <c r="V6" s="103"/>
      <c r="W6" s="103"/>
      <c r="X6" s="103"/>
      <c r="Y6" s="102">
        <v>0.5</v>
      </c>
      <c r="Z6" s="103"/>
      <c r="AA6" s="103"/>
      <c r="AB6" s="103"/>
      <c r="AC6" s="102">
        <v>0.54166666666666696</v>
      </c>
      <c r="AD6" s="103"/>
      <c r="AE6" s="103"/>
      <c r="AF6" s="103"/>
      <c r="AG6" s="102">
        <v>0.58333333333333304</v>
      </c>
      <c r="AH6" s="103"/>
      <c r="AI6" s="103"/>
      <c r="AJ6" s="103"/>
      <c r="AK6" s="102">
        <v>0.625</v>
      </c>
      <c r="AL6" s="103"/>
      <c r="AM6" s="103"/>
      <c r="AN6" s="103"/>
      <c r="AO6" s="102">
        <v>0.66666666666666696</v>
      </c>
      <c r="AP6" s="103"/>
      <c r="AQ6" s="103"/>
      <c r="AR6" s="103"/>
      <c r="AS6" s="102">
        <v>0.70833333333333304</v>
      </c>
      <c r="AT6" s="103"/>
      <c r="AU6" s="103"/>
      <c r="AV6" s="103"/>
      <c r="AW6" s="102">
        <v>0.75</v>
      </c>
      <c r="AX6" s="103"/>
      <c r="AY6" s="103"/>
      <c r="AZ6" s="103"/>
      <c r="BA6" s="102">
        <v>0.79166666666666696</v>
      </c>
      <c r="BB6" s="103"/>
      <c r="BC6" s="103"/>
      <c r="BD6" s="118"/>
    </row>
    <row r="7" spans="1:56" s="72" customFormat="1" ht="23.1" customHeight="1">
      <c r="A7"/>
      <c r="B7" s="114" t="s">
        <v>89</v>
      </c>
      <c r="C7" s="115"/>
      <c r="D7" s="116"/>
      <c r="E7" s="85">
        <v>0.29166666666666669</v>
      </c>
      <c r="F7" s="84">
        <v>0.30208333333333331</v>
      </c>
      <c r="G7" s="84">
        <v>0.3125</v>
      </c>
      <c r="H7" s="84">
        <v>0.32291666666666702</v>
      </c>
      <c r="I7" s="84">
        <v>0.33333333333333298</v>
      </c>
      <c r="J7" s="84">
        <v>0.34375</v>
      </c>
      <c r="K7" s="84">
        <v>0.35416666666666602</v>
      </c>
      <c r="L7" s="84">
        <v>0.36458333333333298</v>
      </c>
      <c r="M7" s="84">
        <v>0.375000000000001</v>
      </c>
      <c r="N7" s="84">
        <v>0.38541666666666802</v>
      </c>
      <c r="O7" s="84">
        <v>0.39583333333333498</v>
      </c>
      <c r="P7" s="84">
        <v>0.406250000000002</v>
      </c>
      <c r="Q7" s="84">
        <v>0.41666666666666902</v>
      </c>
      <c r="R7" s="84">
        <v>0.42708333333333598</v>
      </c>
      <c r="S7" s="84">
        <v>0.437500000000003</v>
      </c>
      <c r="T7" s="84">
        <v>0.44791666666667002</v>
      </c>
      <c r="U7" s="84">
        <v>0.45833333333333698</v>
      </c>
      <c r="V7" s="84">
        <v>0.468750000000004</v>
      </c>
      <c r="W7" s="84">
        <v>0.47916666666667102</v>
      </c>
      <c r="X7" s="84">
        <v>0.48958333333333798</v>
      </c>
      <c r="Y7" s="84">
        <v>0.500000000000005</v>
      </c>
      <c r="Z7" s="84">
        <v>0.51041666666667196</v>
      </c>
      <c r="AA7" s="84">
        <v>0.52083333333333903</v>
      </c>
      <c r="AB7" s="84">
        <v>0.531250000000006</v>
      </c>
      <c r="AC7" s="84">
        <v>0.54166666666667296</v>
      </c>
      <c r="AD7" s="84">
        <v>0.55208333333334003</v>
      </c>
      <c r="AE7" s="84">
        <v>0.56250000000000699</v>
      </c>
      <c r="AF7" s="84">
        <v>0.57291666666667396</v>
      </c>
      <c r="AG7" s="84">
        <v>0.58333333333334103</v>
      </c>
      <c r="AH7" s="84">
        <v>0.59375</v>
      </c>
      <c r="AI7" s="84">
        <v>0.60416666666667496</v>
      </c>
      <c r="AJ7" s="84">
        <v>0.61458333333334203</v>
      </c>
      <c r="AK7" s="83">
        <v>0.625</v>
      </c>
      <c r="AL7" s="83">
        <v>0.63541666666667695</v>
      </c>
      <c r="AM7" s="83">
        <v>0.64583333333334403</v>
      </c>
      <c r="AN7" s="83">
        <v>0.65625000000001099</v>
      </c>
      <c r="AO7" s="83">
        <v>0.66666666666667795</v>
      </c>
      <c r="AP7" s="83">
        <v>0.67708333333334503</v>
      </c>
      <c r="AQ7" s="83">
        <v>0.68750000000001199</v>
      </c>
      <c r="AR7" s="83">
        <v>0.69791666666667895</v>
      </c>
      <c r="AS7" s="83">
        <v>0.70833333333334603</v>
      </c>
      <c r="AT7" s="83">
        <v>0.71875000000001299</v>
      </c>
      <c r="AU7" s="83">
        <v>0.72916666666667995</v>
      </c>
      <c r="AV7" s="83">
        <v>0.73958333333334703</v>
      </c>
      <c r="AW7" s="83">
        <v>0.75000000000001399</v>
      </c>
      <c r="AX7" s="83">
        <v>0.76041666666668095</v>
      </c>
      <c r="AY7" s="83">
        <v>0.77083333333334803</v>
      </c>
      <c r="AZ7" s="83">
        <v>0.78125000000001499</v>
      </c>
      <c r="BA7" s="83">
        <v>0.79166666666666496</v>
      </c>
      <c r="BB7" s="83">
        <v>0.80208333333333204</v>
      </c>
      <c r="BC7" s="83">
        <v>0.812499999999998</v>
      </c>
      <c r="BD7" s="82">
        <v>0.82291666666666496</v>
      </c>
    </row>
    <row r="8" spans="1:56" s="72" customFormat="1" ht="23.1" customHeight="1">
      <c r="A8"/>
      <c r="B8" s="117" t="s">
        <v>90</v>
      </c>
      <c r="C8" s="110"/>
      <c r="D8" s="111"/>
      <c r="E8" s="81">
        <v>0.29166666666666669</v>
      </c>
      <c r="F8" s="80">
        <v>0.30208333333333331</v>
      </c>
      <c r="G8" s="80">
        <v>0.3125</v>
      </c>
      <c r="H8" s="80">
        <v>0.32291666666666702</v>
      </c>
      <c r="I8" s="80">
        <v>0.33333333333333298</v>
      </c>
      <c r="J8" s="80">
        <v>0.34375</v>
      </c>
      <c r="K8" s="80">
        <v>0.35416666666666669</v>
      </c>
      <c r="L8" s="80">
        <v>0.36458333333333298</v>
      </c>
      <c r="M8" s="80">
        <v>0.375000000000001</v>
      </c>
      <c r="N8" s="80">
        <v>0.38541666666666802</v>
      </c>
      <c r="O8" s="80">
        <v>0.39583333333333498</v>
      </c>
      <c r="P8" s="80">
        <v>0.406250000000002</v>
      </c>
      <c r="Q8" s="80">
        <v>0.41666666666666902</v>
      </c>
      <c r="R8" s="80">
        <v>0.42708333333333598</v>
      </c>
      <c r="S8" s="79">
        <v>0.437500000000003</v>
      </c>
      <c r="T8" s="79">
        <v>0.44791666666667002</v>
      </c>
      <c r="U8" s="79">
        <v>0.45833333333333698</v>
      </c>
      <c r="V8" s="79">
        <v>0.468750000000004</v>
      </c>
      <c r="W8" s="79">
        <v>0.47916666666667102</v>
      </c>
      <c r="X8" s="79">
        <v>0.48958333333333798</v>
      </c>
      <c r="Y8" s="79">
        <v>0.500000000000005</v>
      </c>
      <c r="Z8" s="79">
        <v>0.51041666666667196</v>
      </c>
      <c r="AA8" s="79">
        <v>0.52083333333333903</v>
      </c>
      <c r="AB8" s="79">
        <v>0.531250000000006</v>
      </c>
      <c r="AC8" s="79">
        <v>0.54166666666667296</v>
      </c>
      <c r="AD8" s="79">
        <v>0.55208333333334003</v>
      </c>
      <c r="AE8" s="79">
        <v>0.56250000000000699</v>
      </c>
      <c r="AF8" s="79">
        <v>0.57291666666667396</v>
      </c>
      <c r="AG8" s="79">
        <v>0.58333333333334103</v>
      </c>
      <c r="AH8" s="79">
        <v>0.59375000000000799</v>
      </c>
      <c r="AI8" s="79">
        <v>0.60416666666667496</v>
      </c>
      <c r="AJ8" s="79">
        <v>0.61458333333334203</v>
      </c>
      <c r="AK8" s="79">
        <v>0.62500000000000999</v>
      </c>
      <c r="AL8" s="79">
        <v>0.63541666666667695</v>
      </c>
      <c r="AM8" s="79">
        <v>0.64583333333334403</v>
      </c>
      <c r="AN8" s="79">
        <v>0.65625000000001099</v>
      </c>
      <c r="AO8" s="79">
        <v>0.66666666666667795</v>
      </c>
      <c r="AP8" s="79">
        <v>0.67708333333334503</v>
      </c>
      <c r="AQ8" s="79">
        <v>0.68750000000001199</v>
      </c>
      <c r="AR8" s="79">
        <v>0.69791666666667895</v>
      </c>
      <c r="AS8" s="79">
        <v>0.70833333333334603</v>
      </c>
      <c r="AT8" s="79">
        <v>0.71875000000001299</v>
      </c>
      <c r="AU8" s="79">
        <v>0.72916666666667995</v>
      </c>
      <c r="AV8" s="79">
        <v>0.73958333333334703</v>
      </c>
      <c r="AW8" s="79">
        <v>0.75000000000001399</v>
      </c>
      <c r="AX8" s="79">
        <v>0.76041666666668095</v>
      </c>
      <c r="AY8" s="79">
        <v>0.77083333333334803</v>
      </c>
      <c r="AZ8" s="79">
        <v>0.78125000000001499</v>
      </c>
      <c r="BA8" s="79">
        <v>0.79166666666666496</v>
      </c>
      <c r="BB8" s="79">
        <v>0.80208333333333204</v>
      </c>
      <c r="BC8" s="79">
        <v>0.812499999999998</v>
      </c>
      <c r="BD8" s="78">
        <v>0.82291666666666496</v>
      </c>
    </row>
    <row r="9" spans="1:56" ht="23.1" customHeight="1">
      <c r="B9" s="109" t="s">
        <v>86</v>
      </c>
      <c r="C9" s="110"/>
      <c r="D9" s="111"/>
      <c r="E9" s="81">
        <v>0.29166666666666669</v>
      </c>
      <c r="F9" s="79">
        <v>0.30208333333333331</v>
      </c>
      <c r="G9" s="80">
        <v>0.3125</v>
      </c>
      <c r="H9" s="80">
        <v>0.32291666666666702</v>
      </c>
      <c r="I9" s="80">
        <v>0.33333333333333298</v>
      </c>
      <c r="J9" s="80">
        <v>0.34375</v>
      </c>
      <c r="K9" s="80">
        <v>0.35416666666666669</v>
      </c>
      <c r="L9" s="80">
        <v>0.36458333333333298</v>
      </c>
      <c r="M9" s="80">
        <v>0.375000000000001</v>
      </c>
      <c r="N9" s="80">
        <v>0.38541666666666802</v>
      </c>
      <c r="O9" s="80">
        <v>0.39583333333333498</v>
      </c>
      <c r="P9" s="80">
        <v>0.406250000000002</v>
      </c>
      <c r="Q9" s="80">
        <v>0.41666666666666902</v>
      </c>
      <c r="R9" s="80">
        <v>0.42708333333333598</v>
      </c>
      <c r="S9" s="80">
        <v>0.437500000000003</v>
      </c>
      <c r="T9" s="80">
        <v>0.44791666666667002</v>
      </c>
      <c r="U9" s="80">
        <v>0.45833333333333698</v>
      </c>
      <c r="V9" s="80">
        <v>0.468750000000004</v>
      </c>
      <c r="W9" s="80">
        <v>0.47916666666667102</v>
      </c>
      <c r="X9" s="80">
        <v>0.48958333333333798</v>
      </c>
      <c r="Y9" s="80">
        <v>0.500000000000005</v>
      </c>
      <c r="Z9" s="80">
        <v>0.51041666666667196</v>
      </c>
      <c r="AA9" s="80">
        <v>0.52083333333333903</v>
      </c>
      <c r="AB9" s="80">
        <v>0.531250000000006</v>
      </c>
      <c r="AC9" s="80">
        <v>0.54166666666667296</v>
      </c>
      <c r="AD9" s="80">
        <v>0.55208333333334003</v>
      </c>
      <c r="AE9" s="80">
        <v>0.56250000000000699</v>
      </c>
      <c r="AF9" s="80">
        <v>0.57291666666667396</v>
      </c>
      <c r="AG9" s="80">
        <v>0.58333333333334103</v>
      </c>
      <c r="AH9" s="80">
        <v>0.59375000000000799</v>
      </c>
      <c r="AI9" s="80">
        <v>0.60416666666667496</v>
      </c>
      <c r="AJ9" s="80">
        <v>0.61458333333334203</v>
      </c>
      <c r="AK9" s="80">
        <v>0.62500000000000999</v>
      </c>
      <c r="AL9" s="80">
        <v>0.63541666666667695</v>
      </c>
      <c r="AM9" s="79">
        <v>0.64583333333334403</v>
      </c>
      <c r="AN9" s="79">
        <v>0.65625000000001099</v>
      </c>
      <c r="AO9" s="79">
        <v>0.66666666666667795</v>
      </c>
      <c r="AP9" s="79">
        <v>0.67708333333334503</v>
      </c>
      <c r="AQ9" s="79">
        <v>0.68750000000001199</v>
      </c>
      <c r="AR9" s="79">
        <v>0.69791666666667895</v>
      </c>
      <c r="AS9" s="79">
        <v>0.70833333333334603</v>
      </c>
      <c r="AT9" s="79">
        <v>0.71875000000001299</v>
      </c>
      <c r="AU9" s="79">
        <v>0.72916666666667995</v>
      </c>
      <c r="AV9" s="79">
        <v>0.73958333333334703</v>
      </c>
      <c r="AW9" s="79">
        <v>0.75000000000001399</v>
      </c>
      <c r="AX9" s="79">
        <v>0.76041666666668095</v>
      </c>
      <c r="AY9" s="79">
        <v>0.77083333333334803</v>
      </c>
      <c r="AZ9" s="79">
        <v>0.78125000000001499</v>
      </c>
      <c r="BA9" s="79">
        <v>0.79166666666666496</v>
      </c>
      <c r="BB9" s="79">
        <v>0.80208333333333204</v>
      </c>
      <c r="BC9" s="79">
        <v>0.812499999999998</v>
      </c>
      <c r="BD9" s="78">
        <v>0.82291666666666496</v>
      </c>
    </row>
    <row r="10" spans="1:56" ht="23.1" customHeight="1">
      <c r="B10" s="109" t="s">
        <v>152</v>
      </c>
      <c r="C10" s="110"/>
      <c r="D10" s="111"/>
      <c r="E10" s="81">
        <v>0.29166666666666669</v>
      </c>
      <c r="F10" s="79">
        <v>0.30208333333333331</v>
      </c>
      <c r="G10" s="79">
        <v>0.3125</v>
      </c>
      <c r="H10" s="79">
        <v>0.32291666666666702</v>
      </c>
      <c r="I10" s="80">
        <v>0.33333333333333298</v>
      </c>
      <c r="J10" s="80">
        <v>0.34375</v>
      </c>
      <c r="K10" s="80">
        <v>0.35416666666666669</v>
      </c>
      <c r="L10" s="80">
        <v>0.36458333333333298</v>
      </c>
      <c r="M10" s="80">
        <v>0.375000000000001</v>
      </c>
      <c r="N10" s="80">
        <v>0.38541666666666802</v>
      </c>
      <c r="O10" s="80">
        <v>0.39583333333333498</v>
      </c>
      <c r="P10" s="80">
        <v>0.406250000000002</v>
      </c>
      <c r="Q10" s="80">
        <v>0.41666666666666902</v>
      </c>
      <c r="R10" s="80">
        <v>0.42708333333333598</v>
      </c>
      <c r="S10" s="80">
        <v>0.437500000000003</v>
      </c>
      <c r="T10" s="80">
        <v>0.44791666666667002</v>
      </c>
      <c r="U10" s="80">
        <v>0.45833333333333698</v>
      </c>
      <c r="V10" s="80">
        <v>0.468750000000004</v>
      </c>
      <c r="W10" s="80">
        <v>0.47916666666667102</v>
      </c>
      <c r="X10" s="80">
        <v>0.48958333333333798</v>
      </c>
      <c r="Y10" s="80">
        <v>0.500000000000005</v>
      </c>
      <c r="Z10" s="80">
        <v>0.51041666666667196</v>
      </c>
      <c r="AA10" s="80">
        <v>0.52083333333333903</v>
      </c>
      <c r="AB10" s="80">
        <v>0.531250000000006</v>
      </c>
      <c r="AC10" s="80">
        <v>0.54166666666667296</v>
      </c>
      <c r="AD10" s="80">
        <v>0.55208333333334003</v>
      </c>
      <c r="AE10" s="80">
        <v>0.56250000000000699</v>
      </c>
      <c r="AF10" s="80">
        <v>0.57291666666667396</v>
      </c>
      <c r="AG10" s="80">
        <v>0.58333333333334103</v>
      </c>
      <c r="AH10" s="80">
        <v>0.59375000000000799</v>
      </c>
      <c r="AI10" s="80">
        <v>0.60416666666667496</v>
      </c>
      <c r="AJ10" s="80">
        <v>0.61458333333334203</v>
      </c>
      <c r="AK10" s="80">
        <v>0.62500000000000999</v>
      </c>
      <c r="AL10" s="80">
        <v>0.63541666666667695</v>
      </c>
      <c r="AM10" s="80">
        <v>0.64583333333334403</v>
      </c>
      <c r="AN10" s="80">
        <v>0.65625000000001099</v>
      </c>
      <c r="AO10" s="79">
        <v>0.66666666666667795</v>
      </c>
      <c r="AP10" s="79">
        <v>0.67708333333334503</v>
      </c>
      <c r="AQ10" s="79">
        <v>0.68750000000001199</v>
      </c>
      <c r="AR10" s="79">
        <v>0.69791666666667895</v>
      </c>
      <c r="AS10" s="79">
        <v>0.70833333333334603</v>
      </c>
      <c r="AT10" s="79">
        <v>0.71875000000001299</v>
      </c>
      <c r="AU10" s="79">
        <v>0.72916666666667995</v>
      </c>
      <c r="AV10" s="79">
        <v>0.73958333333334703</v>
      </c>
      <c r="AW10" s="79">
        <v>0.75000000000001399</v>
      </c>
      <c r="AX10" s="79">
        <v>0.76041666666668095</v>
      </c>
      <c r="AY10" s="79">
        <v>0.77083333333334803</v>
      </c>
      <c r="AZ10" s="79">
        <v>0.78125000000001499</v>
      </c>
      <c r="BA10" s="79">
        <v>0.79166666666666496</v>
      </c>
      <c r="BB10" s="79">
        <v>0.80208333333333204</v>
      </c>
      <c r="BC10" s="79">
        <v>0.812499999999998</v>
      </c>
      <c r="BD10" s="78">
        <v>0.82291666666666496</v>
      </c>
    </row>
    <row r="11" spans="1:56" ht="23.1" customHeight="1">
      <c r="B11" s="109" t="s">
        <v>153</v>
      </c>
      <c r="C11" s="110"/>
      <c r="D11" s="111"/>
      <c r="E11" s="81">
        <v>0.29166666666666669</v>
      </c>
      <c r="F11" s="79">
        <v>0.30208333333333331</v>
      </c>
      <c r="G11" s="79">
        <v>0.3125</v>
      </c>
      <c r="H11" s="79">
        <v>0.32291666666666702</v>
      </c>
      <c r="I11" s="79">
        <v>0.33333333333333298</v>
      </c>
      <c r="J11" s="80">
        <v>0.34375</v>
      </c>
      <c r="K11" s="80">
        <v>0.35416666666666669</v>
      </c>
      <c r="L11" s="80">
        <v>0.36458333333333298</v>
      </c>
      <c r="M11" s="80">
        <v>0.375000000000001</v>
      </c>
      <c r="N11" s="80">
        <v>0.38541666666666802</v>
      </c>
      <c r="O11" s="80">
        <v>0.39583333333333498</v>
      </c>
      <c r="P11" s="80">
        <v>0.406250000000002</v>
      </c>
      <c r="Q11" s="80">
        <v>0.41666666666666902</v>
      </c>
      <c r="R11" s="80">
        <v>0.42708333333333598</v>
      </c>
      <c r="S11" s="80">
        <v>0.437500000000003</v>
      </c>
      <c r="T11" s="80">
        <v>0.44791666666667002</v>
      </c>
      <c r="U11" s="80">
        <v>0.45833333333333698</v>
      </c>
      <c r="V11" s="80">
        <v>0.468750000000004</v>
      </c>
      <c r="W11" s="80">
        <v>0.47916666666667102</v>
      </c>
      <c r="X11" s="80">
        <v>0.48958333333333798</v>
      </c>
      <c r="Y11" s="80">
        <v>0.500000000000005</v>
      </c>
      <c r="Z11" s="80">
        <v>0.51041666666667196</v>
      </c>
      <c r="AA11" s="80">
        <v>0.52083333333333903</v>
      </c>
      <c r="AB11" s="80">
        <v>0.531250000000006</v>
      </c>
      <c r="AC11" s="80">
        <v>0.54166666666667296</v>
      </c>
      <c r="AD11" s="80">
        <v>0.55208333333334003</v>
      </c>
      <c r="AE11" s="80">
        <v>0.56250000000000699</v>
      </c>
      <c r="AF11" s="80">
        <v>0.57291666666667396</v>
      </c>
      <c r="AG11" s="80">
        <v>0.58333333333334103</v>
      </c>
      <c r="AH11" s="80">
        <v>0.59375000000000799</v>
      </c>
      <c r="AI11" s="80">
        <v>0.60416666666667496</v>
      </c>
      <c r="AJ11" s="80">
        <v>0.61458333333334203</v>
      </c>
      <c r="AK11" s="80">
        <v>0.62500000000000999</v>
      </c>
      <c r="AL11" s="80">
        <v>0.63541666666667695</v>
      </c>
      <c r="AM11" s="80">
        <v>0.64583333333334403</v>
      </c>
      <c r="AN11" s="80">
        <v>0.65625000000001099</v>
      </c>
      <c r="AO11" s="80">
        <v>0.66666666666667795</v>
      </c>
      <c r="AP11" s="79">
        <v>0.67708333333334503</v>
      </c>
      <c r="AQ11" s="79">
        <v>0.68750000000001199</v>
      </c>
      <c r="AR11" s="79">
        <v>0.69791666666667895</v>
      </c>
      <c r="AS11" s="79">
        <v>0.70833333333334603</v>
      </c>
      <c r="AT11" s="79">
        <v>0.71875000000001299</v>
      </c>
      <c r="AU11" s="79">
        <v>0.72916666666667995</v>
      </c>
      <c r="AV11" s="79">
        <v>0.73958333333334703</v>
      </c>
      <c r="AW11" s="79">
        <v>0.75000000000001399</v>
      </c>
      <c r="AX11" s="79">
        <v>0.76041666666668095</v>
      </c>
      <c r="AY11" s="79">
        <v>0.77083333333334803</v>
      </c>
      <c r="AZ11" s="79">
        <v>0.78125000000001499</v>
      </c>
      <c r="BA11" s="79">
        <v>0.79166666666666496</v>
      </c>
      <c r="BB11" s="79">
        <v>0.80208333333333204</v>
      </c>
      <c r="BC11" s="79">
        <v>0.812499999999998</v>
      </c>
      <c r="BD11" s="78">
        <v>0.82291666666666496</v>
      </c>
    </row>
    <row r="12" spans="1:56" ht="23.1" customHeight="1">
      <c r="B12" s="109" t="s">
        <v>154</v>
      </c>
      <c r="C12" s="110"/>
      <c r="D12" s="111"/>
      <c r="E12" s="81">
        <v>0.29166666666666669</v>
      </c>
      <c r="F12" s="79">
        <v>0.30208333333333331</v>
      </c>
      <c r="G12" s="79">
        <v>0.3125</v>
      </c>
      <c r="H12" s="79">
        <v>0.32291666666666702</v>
      </c>
      <c r="I12" s="79">
        <v>0.33333333333333298</v>
      </c>
      <c r="J12" s="79">
        <v>0.34375</v>
      </c>
      <c r="K12" s="80">
        <v>0.35416666666666669</v>
      </c>
      <c r="L12" s="80">
        <v>0.36458333333333298</v>
      </c>
      <c r="M12" s="80">
        <v>0.375000000000001</v>
      </c>
      <c r="N12" s="80">
        <v>0.38541666666666802</v>
      </c>
      <c r="O12" s="80">
        <v>0.39583333333333498</v>
      </c>
      <c r="P12" s="80">
        <v>0.406250000000002</v>
      </c>
      <c r="Q12" s="80">
        <v>0.41666666666666902</v>
      </c>
      <c r="R12" s="80">
        <v>0.42708333333333598</v>
      </c>
      <c r="S12" s="80">
        <v>0.437500000000003</v>
      </c>
      <c r="T12" s="80">
        <v>0.44791666666667002</v>
      </c>
      <c r="U12" s="80">
        <v>0.45833333333333698</v>
      </c>
      <c r="V12" s="80">
        <v>0.468750000000004</v>
      </c>
      <c r="W12" s="80">
        <v>0.47916666666667102</v>
      </c>
      <c r="X12" s="80">
        <v>0.48958333333333798</v>
      </c>
      <c r="Y12" s="80">
        <v>0.500000000000005</v>
      </c>
      <c r="Z12" s="80">
        <v>0.51041666666667196</v>
      </c>
      <c r="AA12" s="80">
        <v>0.52083333333333903</v>
      </c>
      <c r="AB12" s="80">
        <v>0.531250000000006</v>
      </c>
      <c r="AC12" s="80">
        <v>0.54166666666667296</v>
      </c>
      <c r="AD12" s="80">
        <v>0.55208333333334003</v>
      </c>
      <c r="AE12" s="80">
        <v>0.56250000000000699</v>
      </c>
      <c r="AF12" s="80">
        <v>0.57291666666667396</v>
      </c>
      <c r="AG12" s="80">
        <v>0.58333333333334103</v>
      </c>
      <c r="AH12" s="80">
        <v>0.59375000000000799</v>
      </c>
      <c r="AI12" s="80">
        <v>0.60416666666667496</v>
      </c>
      <c r="AJ12" s="80">
        <v>0.61458333333334203</v>
      </c>
      <c r="AK12" s="80">
        <v>0.62500000000000999</v>
      </c>
      <c r="AL12" s="80">
        <v>0.63541666666667695</v>
      </c>
      <c r="AM12" s="80">
        <v>0.64583333333334403</v>
      </c>
      <c r="AN12" s="80">
        <v>0.65625000000001099</v>
      </c>
      <c r="AO12" s="80">
        <v>0.66666666666667795</v>
      </c>
      <c r="AP12" s="80">
        <v>0.67708333333334503</v>
      </c>
      <c r="AQ12" s="79">
        <v>0.68750000000001199</v>
      </c>
      <c r="AR12" s="79">
        <v>0.69791666666667895</v>
      </c>
      <c r="AS12" s="79">
        <v>0.70833333333334603</v>
      </c>
      <c r="AT12" s="79">
        <v>0.71875000000001299</v>
      </c>
      <c r="AU12" s="79">
        <v>0.72916666666667995</v>
      </c>
      <c r="AV12" s="79">
        <v>0.73958333333334703</v>
      </c>
      <c r="AW12" s="79">
        <v>0.75000000000001399</v>
      </c>
      <c r="AX12" s="79">
        <v>0.76041666666668095</v>
      </c>
      <c r="AY12" s="79">
        <v>0.77083333333334803</v>
      </c>
      <c r="AZ12" s="79">
        <v>0.78125000000001499</v>
      </c>
      <c r="BA12" s="79">
        <v>0.79166666666666496</v>
      </c>
      <c r="BB12" s="79">
        <v>0.80208333333333204</v>
      </c>
      <c r="BC12" s="79">
        <v>0.812499999999998</v>
      </c>
      <c r="BD12" s="78">
        <v>0.82291666666666496</v>
      </c>
    </row>
    <row r="13" spans="1:56" ht="23.1" customHeight="1">
      <c r="B13" s="109" t="s">
        <v>87</v>
      </c>
      <c r="C13" s="110"/>
      <c r="D13" s="111"/>
      <c r="E13" s="81">
        <v>0.29166666666666669</v>
      </c>
      <c r="F13" s="79">
        <v>0.30208333333333331</v>
      </c>
      <c r="G13" s="79">
        <v>0.3125</v>
      </c>
      <c r="H13" s="79">
        <v>0.32291666666666702</v>
      </c>
      <c r="I13" s="79">
        <v>0.33333333333333298</v>
      </c>
      <c r="J13" s="79">
        <v>0.34375</v>
      </c>
      <c r="K13" s="79">
        <v>0.35416666666666669</v>
      </c>
      <c r="L13" s="80">
        <v>0.36458333333333298</v>
      </c>
      <c r="M13" s="80">
        <v>0.375000000000001</v>
      </c>
      <c r="N13" s="80">
        <v>0.38541666666666802</v>
      </c>
      <c r="O13" s="80">
        <v>0.39583333333333498</v>
      </c>
      <c r="P13" s="80">
        <v>0.406250000000002</v>
      </c>
      <c r="Q13" s="80">
        <v>0.41666666666666902</v>
      </c>
      <c r="R13" s="80">
        <v>0.42708333333333598</v>
      </c>
      <c r="S13" s="80">
        <v>0.437500000000003</v>
      </c>
      <c r="T13" s="80">
        <v>0.44791666666667002</v>
      </c>
      <c r="U13" s="80">
        <v>0.45833333333333698</v>
      </c>
      <c r="V13" s="80">
        <v>0.468750000000004</v>
      </c>
      <c r="W13" s="80">
        <v>0.47916666666667102</v>
      </c>
      <c r="X13" s="80">
        <v>0.48958333333333798</v>
      </c>
      <c r="Y13" s="80">
        <v>0.500000000000005</v>
      </c>
      <c r="Z13" s="80">
        <v>0.51041666666667196</v>
      </c>
      <c r="AA13" s="80">
        <v>0.52083333333333903</v>
      </c>
      <c r="AB13" s="80">
        <v>0.531250000000006</v>
      </c>
      <c r="AC13" s="80">
        <v>0.54166666666667296</v>
      </c>
      <c r="AD13" s="80">
        <v>0.55208333333334003</v>
      </c>
      <c r="AE13" s="80">
        <v>0.56250000000000699</v>
      </c>
      <c r="AF13" s="80">
        <v>0.57291666666667396</v>
      </c>
      <c r="AG13" s="80">
        <v>0.58333333333334103</v>
      </c>
      <c r="AH13" s="80">
        <v>0.59375000000000799</v>
      </c>
      <c r="AI13" s="80">
        <v>0.60416666666667496</v>
      </c>
      <c r="AJ13" s="80">
        <v>0.61458333333334203</v>
      </c>
      <c r="AK13" s="80">
        <v>0.62500000000000999</v>
      </c>
      <c r="AL13" s="80">
        <v>0.63541666666667695</v>
      </c>
      <c r="AM13" s="80">
        <v>0.64583333333334403</v>
      </c>
      <c r="AN13" s="80">
        <v>0.65625000000001099</v>
      </c>
      <c r="AO13" s="80">
        <v>0.66666666666667795</v>
      </c>
      <c r="AP13" s="80">
        <v>0.67708333333334503</v>
      </c>
      <c r="AQ13" s="80">
        <v>0.68750000000001199</v>
      </c>
      <c r="AR13" s="79">
        <v>0.69791666666667895</v>
      </c>
      <c r="AS13" s="79">
        <v>0.70833333333334603</v>
      </c>
      <c r="AT13" s="79">
        <v>0.71875000000001299</v>
      </c>
      <c r="AU13" s="79">
        <v>0.72916666666667995</v>
      </c>
      <c r="AV13" s="79">
        <v>0.73958333333334703</v>
      </c>
      <c r="AW13" s="79">
        <v>0.75000000000001399</v>
      </c>
      <c r="AX13" s="79">
        <v>0.76041666666668095</v>
      </c>
      <c r="AY13" s="79">
        <v>0.77083333333334803</v>
      </c>
      <c r="AZ13" s="79">
        <v>0.78125000000001499</v>
      </c>
      <c r="BA13" s="79">
        <v>0.79166666666666496</v>
      </c>
      <c r="BB13" s="79">
        <v>0.80208333333333204</v>
      </c>
      <c r="BC13" s="79">
        <v>0.812499999999998</v>
      </c>
      <c r="BD13" s="78">
        <v>0.82291666666666496</v>
      </c>
    </row>
    <row r="14" spans="1:56" ht="23.1" customHeight="1">
      <c r="B14" s="109" t="s">
        <v>155</v>
      </c>
      <c r="C14" s="110"/>
      <c r="D14" s="111"/>
      <c r="E14" s="81">
        <v>0.29166666666666669</v>
      </c>
      <c r="F14" s="79">
        <v>0.30208333333333331</v>
      </c>
      <c r="G14" s="79">
        <v>0.3125</v>
      </c>
      <c r="H14" s="79">
        <v>0.32291666666666702</v>
      </c>
      <c r="I14" s="79">
        <v>0.33333333333333298</v>
      </c>
      <c r="J14" s="79">
        <v>0.34375</v>
      </c>
      <c r="K14" s="79">
        <v>0.35416666666666669</v>
      </c>
      <c r="L14" s="79">
        <v>0.36458333333333298</v>
      </c>
      <c r="M14" s="80">
        <v>0.375000000000001</v>
      </c>
      <c r="N14" s="80">
        <v>0.38541666666666802</v>
      </c>
      <c r="O14" s="80">
        <v>0.39583333333333498</v>
      </c>
      <c r="P14" s="80">
        <v>0.406250000000002</v>
      </c>
      <c r="Q14" s="80">
        <v>0.41666666666666902</v>
      </c>
      <c r="R14" s="80">
        <v>0.42708333333333598</v>
      </c>
      <c r="S14" s="80">
        <v>0.437500000000003</v>
      </c>
      <c r="T14" s="80">
        <v>0.44791666666667002</v>
      </c>
      <c r="U14" s="80">
        <v>0.45833333333333698</v>
      </c>
      <c r="V14" s="80">
        <v>0.468750000000004</v>
      </c>
      <c r="W14" s="80">
        <v>0.47916666666667102</v>
      </c>
      <c r="X14" s="80">
        <v>0.48958333333333798</v>
      </c>
      <c r="Y14" s="80">
        <v>0.500000000000005</v>
      </c>
      <c r="Z14" s="80">
        <v>0.51041666666667196</v>
      </c>
      <c r="AA14" s="80">
        <v>0.52083333333333903</v>
      </c>
      <c r="AB14" s="80">
        <v>0.531250000000006</v>
      </c>
      <c r="AC14" s="80">
        <v>0.54166666666667296</v>
      </c>
      <c r="AD14" s="80">
        <v>0.55208333333334003</v>
      </c>
      <c r="AE14" s="80">
        <v>0.56250000000000699</v>
      </c>
      <c r="AF14" s="80">
        <v>0.57291666666667396</v>
      </c>
      <c r="AG14" s="80">
        <v>0.58333333333334103</v>
      </c>
      <c r="AH14" s="80">
        <v>0.59375000000000799</v>
      </c>
      <c r="AI14" s="80">
        <v>0.60416666666667496</v>
      </c>
      <c r="AJ14" s="80">
        <v>0.61458333333334203</v>
      </c>
      <c r="AK14" s="80">
        <v>0.62500000000000999</v>
      </c>
      <c r="AL14" s="80">
        <v>0.63541666666667695</v>
      </c>
      <c r="AM14" s="80">
        <v>0.64583333333334403</v>
      </c>
      <c r="AN14" s="80">
        <v>0.65625000000001099</v>
      </c>
      <c r="AO14" s="80">
        <v>0.66666666666667795</v>
      </c>
      <c r="AP14" s="80">
        <v>0.67708333333334503</v>
      </c>
      <c r="AQ14" s="80">
        <v>0.68750000000001199</v>
      </c>
      <c r="AR14" s="80">
        <v>0.69791666666667895</v>
      </c>
      <c r="AS14" s="79">
        <v>0.70833333333334603</v>
      </c>
      <c r="AT14" s="79">
        <v>0.71875000000001299</v>
      </c>
      <c r="AU14" s="79">
        <v>0.72916666666667995</v>
      </c>
      <c r="AV14" s="79">
        <v>0.73958333333334703</v>
      </c>
      <c r="AW14" s="79">
        <v>0.75000000000001399</v>
      </c>
      <c r="AX14" s="79">
        <v>0.76041666666668095</v>
      </c>
      <c r="AY14" s="79">
        <v>0.77083333333334803</v>
      </c>
      <c r="AZ14" s="79">
        <v>0.78125000000001499</v>
      </c>
      <c r="BA14" s="79">
        <v>0.79166666666666496</v>
      </c>
      <c r="BB14" s="79">
        <v>0.80208333333333204</v>
      </c>
      <c r="BC14" s="79">
        <v>0.812499999999998</v>
      </c>
      <c r="BD14" s="78">
        <v>0.82291666666666496</v>
      </c>
    </row>
    <row r="15" spans="1:56" ht="23.1" customHeight="1">
      <c r="B15" s="109" t="s">
        <v>85</v>
      </c>
      <c r="C15" s="110"/>
      <c r="D15" s="111"/>
      <c r="E15" s="81">
        <v>0.29166666666666669</v>
      </c>
      <c r="F15" s="79">
        <v>0.30208333333333331</v>
      </c>
      <c r="G15" s="79">
        <v>0.3125</v>
      </c>
      <c r="H15" s="79">
        <v>0.32291666666666702</v>
      </c>
      <c r="I15" s="79">
        <v>0.33333333333333298</v>
      </c>
      <c r="J15" s="79">
        <v>0.34375</v>
      </c>
      <c r="K15" s="79">
        <v>0.35416666666666669</v>
      </c>
      <c r="L15" s="79">
        <v>0.36458333333333298</v>
      </c>
      <c r="M15" s="80">
        <v>0.375000000000001</v>
      </c>
      <c r="N15" s="80">
        <v>0.38541666666666802</v>
      </c>
      <c r="O15" s="80">
        <v>0.39583333333333498</v>
      </c>
      <c r="P15" s="80">
        <v>0.406250000000002</v>
      </c>
      <c r="Q15" s="80">
        <v>0.41666666666666902</v>
      </c>
      <c r="R15" s="80">
        <v>0.42708333333333598</v>
      </c>
      <c r="S15" s="80">
        <v>0.437500000000003</v>
      </c>
      <c r="T15" s="80">
        <v>0.44791666666667002</v>
      </c>
      <c r="U15" s="80">
        <v>0.45833333333333698</v>
      </c>
      <c r="V15" s="80">
        <v>0.468750000000004</v>
      </c>
      <c r="W15" s="80">
        <v>0.47916666666667102</v>
      </c>
      <c r="X15" s="80">
        <v>0.48958333333333798</v>
      </c>
      <c r="Y15" s="80">
        <v>0.500000000000005</v>
      </c>
      <c r="Z15" s="80">
        <v>0.51041666666667196</v>
      </c>
      <c r="AA15" s="80">
        <v>0.52083333333333903</v>
      </c>
      <c r="AB15" s="80">
        <v>0.531250000000006</v>
      </c>
      <c r="AC15" s="80">
        <v>0.54166666666667296</v>
      </c>
      <c r="AD15" s="80">
        <v>0.55208333333334003</v>
      </c>
      <c r="AE15" s="79">
        <v>0.56250000000000699</v>
      </c>
      <c r="AF15" s="79">
        <v>0.57291666666667396</v>
      </c>
      <c r="AG15" s="79">
        <v>0.58333333333334103</v>
      </c>
      <c r="AH15" s="79">
        <v>0.59375000000000799</v>
      </c>
      <c r="AI15" s="79">
        <v>0.60416666666667496</v>
      </c>
      <c r="AJ15" s="79">
        <v>0.61458333333334203</v>
      </c>
      <c r="AK15" s="79">
        <v>0.62500000000000999</v>
      </c>
      <c r="AL15" s="79">
        <v>0.63541666666667695</v>
      </c>
      <c r="AM15" s="79">
        <v>0.64583333333334403</v>
      </c>
      <c r="AN15" s="79">
        <v>0.65625000000001099</v>
      </c>
      <c r="AO15" s="79">
        <v>0.66666666666667795</v>
      </c>
      <c r="AP15" s="79">
        <v>0.67708333333334503</v>
      </c>
      <c r="AQ15" s="79">
        <v>0.68750000000001199</v>
      </c>
      <c r="AR15" s="79">
        <v>0.69791666666667895</v>
      </c>
      <c r="AS15" s="79">
        <v>0.70833333333334603</v>
      </c>
      <c r="AT15" s="79">
        <v>0.71875000000001299</v>
      </c>
      <c r="AU15" s="79">
        <v>0.72916666666667995</v>
      </c>
      <c r="AV15" s="79">
        <v>0.73958333333334703</v>
      </c>
      <c r="AW15" s="79">
        <v>0.75000000000001399</v>
      </c>
      <c r="AX15" s="79">
        <v>0.76041666666668095</v>
      </c>
      <c r="AY15" s="79">
        <v>0.77083333333334803</v>
      </c>
      <c r="AZ15" s="79">
        <v>0.78125000000001499</v>
      </c>
      <c r="BA15" s="79">
        <v>0.79166666666666496</v>
      </c>
      <c r="BB15" s="79">
        <v>0.80208333333333204</v>
      </c>
      <c r="BC15" s="79">
        <v>0.812499999999998</v>
      </c>
      <c r="BD15" s="78">
        <v>0.82291666666666496</v>
      </c>
    </row>
    <row r="16" spans="1:56" ht="23.1" customHeight="1">
      <c r="B16" s="109" t="s">
        <v>91</v>
      </c>
      <c r="C16" s="110"/>
      <c r="D16" s="111"/>
      <c r="E16" s="81">
        <v>0.29166666666666669</v>
      </c>
      <c r="F16" s="79">
        <v>0.30208333333333331</v>
      </c>
      <c r="G16" s="79">
        <v>0.3125</v>
      </c>
      <c r="H16" s="79">
        <v>0.32291666666666702</v>
      </c>
      <c r="I16" s="79">
        <v>0.33333333333333298</v>
      </c>
      <c r="J16" s="79">
        <v>0.34375</v>
      </c>
      <c r="K16" s="79">
        <v>0.35416666666666669</v>
      </c>
      <c r="L16" s="79">
        <v>0.36458333333333298</v>
      </c>
      <c r="M16" s="79">
        <v>0.375000000000001</v>
      </c>
      <c r="N16" s="80">
        <v>0.38541666666666802</v>
      </c>
      <c r="O16" s="80">
        <v>0.39583333333333498</v>
      </c>
      <c r="P16" s="80">
        <v>0.406250000000002</v>
      </c>
      <c r="Q16" s="80">
        <v>0.41666666666666902</v>
      </c>
      <c r="R16" s="80">
        <v>0.42708333333333598</v>
      </c>
      <c r="S16" s="80">
        <v>0.437500000000003</v>
      </c>
      <c r="T16" s="80">
        <v>0.44791666666667002</v>
      </c>
      <c r="U16" s="80">
        <v>0.45833333333333698</v>
      </c>
      <c r="V16" s="80">
        <v>0.468750000000004</v>
      </c>
      <c r="W16" s="80">
        <v>0.47916666666667102</v>
      </c>
      <c r="X16" s="80">
        <v>0.48958333333333798</v>
      </c>
      <c r="Y16" s="80">
        <v>0.500000000000005</v>
      </c>
      <c r="Z16" s="80">
        <v>0.51041666666667196</v>
      </c>
      <c r="AA16" s="80">
        <v>0.52083333333333903</v>
      </c>
      <c r="AB16" s="80">
        <v>0.531250000000006</v>
      </c>
      <c r="AC16" s="80">
        <v>0.54166666666667296</v>
      </c>
      <c r="AD16" s="80">
        <v>0.55208333333334003</v>
      </c>
      <c r="AE16" s="80">
        <v>0.56250000000000699</v>
      </c>
      <c r="AF16" s="80">
        <v>0.57291666666667396</v>
      </c>
      <c r="AG16" s="80">
        <v>0.58333333333334103</v>
      </c>
      <c r="AH16" s="80">
        <v>0.59375000000000799</v>
      </c>
      <c r="AI16" s="80">
        <v>0.60416666666667496</v>
      </c>
      <c r="AJ16" s="80">
        <v>0.61458333333334203</v>
      </c>
      <c r="AK16" s="80">
        <v>0.62500000000000999</v>
      </c>
      <c r="AL16" s="80">
        <v>0.63541666666667695</v>
      </c>
      <c r="AM16" s="80">
        <v>0.64583333333334403</v>
      </c>
      <c r="AN16" s="80">
        <v>0.65625000000001099</v>
      </c>
      <c r="AO16" s="80">
        <v>0.66666666666667795</v>
      </c>
      <c r="AP16" s="80">
        <v>0.67708333333334503</v>
      </c>
      <c r="AQ16" s="80">
        <v>0.68750000000001199</v>
      </c>
      <c r="AR16" s="80">
        <v>0.69791666666667895</v>
      </c>
      <c r="AS16" s="80">
        <v>0.70833333333334603</v>
      </c>
      <c r="AT16" s="79">
        <v>0.71875000000001299</v>
      </c>
      <c r="AU16" s="79">
        <v>0.72916666666667995</v>
      </c>
      <c r="AV16" s="79">
        <v>0.73958333333334703</v>
      </c>
      <c r="AW16" s="79">
        <v>0.75000000000001399</v>
      </c>
      <c r="AX16" s="79">
        <v>0.76041666666668095</v>
      </c>
      <c r="AY16" s="79">
        <v>0.77083333333334803</v>
      </c>
      <c r="AZ16" s="79">
        <v>0.78125000000001499</v>
      </c>
      <c r="BA16" s="79">
        <v>0.79166666666666496</v>
      </c>
      <c r="BB16" s="79">
        <v>0.80208333333333204</v>
      </c>
      <c r="BC16" s="79">
        <v>0.812499999999998</v>
      </c>
      <c r="BD16" s="78">
        <v>0.82291666666666496</v>
      </c>
    </row>
    <row r="17" spans="1:63" ht="23.1" customHeight="1">
      <c r="B17" s="109" t="s">
        <v>92</v>
      </c>
      <c r="C17" s="110"/>
      <c r="D17" s="111"/>
      <c r="E17" s="81">
        <v>0.29166666666666669</v>
      </c>
      <c r="F17" s="79">
        <v>0.30208333333333331</v>
      </c>
      <c r="G17" s="79">
        <v>0.3125</v>
      </c>
      <c r="H17" s="79">
        <v>0.32291666666666702</v>
      </c>
      <c r="I17" s="79">
        <v>0.33333333333333298</v>
      </c>
      <c r="J17" s="79">
        <v>0.34375</v>
      </c>
      <c r="K17" s="79">
        <v>0.35416666666666669</v>
      </c>
      <c r="L17" s="79">
        <v>0.36458333333333298</v>
      </c>
      <c r="M17" s="79">
        <v>0.375000000000001</v>
      </c>
      <c r="N17" s="79">
        <v>0.38541666666666802</v>
      </c>
      <c r="O17" s="80">
        <v>0.39583333333333498</v>
      </c>
      <c r="P17" s="80">
        <v>0.406250000000002</v>
      </c>
      <c r="Q17" s="80">
        <v>0.41666666666666902</v>
      </c>
      <c r="R17" s="80">
        <v>0.42708333333333598</v>
      </c>
      <c r="S17" s="80">
        <v>0.437500000000003</v>
      </c>
      <c r="T17" s="80">
        <v>0.44791666666667002</v>
      </c>
      <c r="U17" s="80">
        <v>0.45833333333333698</v>
      </c>
      <c r="V17" s="80">
        <v>0.468750000000004</v>
      </c>
      <c r="W17" s="80">
        <v>0.47916666666667102</v>
      </c>
      <c r="X17" s="80">
        <v>0.48958333333333798</v>
      </c>
      <c r="Y17" s="80">
        <v>0.500000000000005</v>
      </c>
      <c r="Z17" s="80">
        <v>0.51041666666667196</v>
      </c>
      <c r="AA17" s="80">
        <v>0.52083333333333903</v>
      </c>
      <c r="AB17" s="80">
        <v>0.531250000000006</v>
      </c>
      <c r="AC17" s="80">
        <v>0.54166666666667296</v>
      </c>
      <c r="AD17" s="80">
        <v>0.55208333333334003</v>
      </c>
      <c r="AE17" s="80">
        <v>0.56250000000000699</v>
      </c>
      <c r="AF17" s="80">
        <v>0.57291666666667396</v>
      </c>
      <c r="AG17" s="80">
        <v>0.58333333333334103</v>
      </c>
      <c r="AH17" s="80">
        <v>0.59375000000000799</v>
      </c>
      <c r="AI17" s="80">
        <v>0.60416666666667496</v>
      </c>
      <c r="AJ17" s="80">
        <v>0.61458333333334203</v>
      </c>
      <c r="AK17" s="80">
        <v>0.62500000000000999</v>
      </c>
      <c r="AL17" s="80">
        <v>0.63541666666667695</v>
      </c>
      <c r="AM17" s="80">
        <v>0.64583333333334403</v>
      </c>
      <c r="AN17" s="80">
        <v>0.65625000000001099</v>
      </c>
      <c r="AO17" s="80">
        <v>0.66666666666667795</v>
      </c>
      <c r="AP17" s="80">
        <v>0.67708333333334503</v>
      </c>
      <c r="AQ17" s="80">
        <v>0.68750000000001199</v>
      </c>
      <c r="AR17" s="80">
        <v>0.69791666666667895</v>
      </c>
      <c r="AS17" s="80">
        <v>0.70833333333334603</v>
      </c>
      <c r="AT17" s="80">
        <v>0.71875000000001299</v>
      </c>
      <c r="AU17" s="79">
        <v>0.72916666666667995</v>
      </c>
      <c r="AV17" s="79">
        <v>0.73958333333334703</v>
      </c>
      <c r="AW17" s="79">
        <v>0.75000000000001399</v>
      </c>
      <c r="AX17" s="79">
        <v>0.76041666666668095</v>
      </c>
      <c r="AY17" s="79">
        <v>0.77083333333334803</v>
      </c>
      <c r="AZ17" s="79">
        <v>0.78125000000001499</v>
      </c>
      <c r="BA17" s="79">
        <v>0.79166666666666496</v>
      </c>
      <c r="BB17" s="79">
        <v>0.80208333333333204</v>
      </c>
      <c r="BC17" s="79">
        <v>0.812499999999998</v>
      </c>
      <c r="BD17" s="78">
        <v>0.82291666666666496</v>
      </c>
    </row>
    <row r="18" spans="1:63" ht="23.1" customHeight="1">
      <c r="B18" s="109" t="s">
        <v>156</v>
      </c>
      <c r="C18" s="110"/>
      <c r="D18" s="111"/>
      <c r="E18" s="81">
        <v>0.29166666666666669</v>
      </c>
      <c r="F18" s="79">
        <v>0.30208333333333331</v>
      </c>
      <c r="G18" s="79">
        <v>0.3125</v>
      </c>
      <c r="H18" s="79">
        <v>0.32291666666666702</v>
      </c>
      <c r="I18" s="79">
        <v>0.33333333333333298</v>
      </c>
      <c r="J18" s="79">
        <v>0.34375</v>
      </c>
      <c r="K18" s="79">
        <v>0.35416666666666669</v>
      </c>
      <c r="L18" s="79">
        <v>0.36458333333333298</v>
      </c>
      <c r="M18" s="79">
        <v>0.375000000000001</v>
      </c>
      <c r="N18" s="79">
        <v>0.38541666666666802</v>
      </c>
      <c r="O18" s="79">
        <v>0.39583333333333498</v>
      </c>
      <c r="P18" s="79">
        <v>0.406250000000002</v>
      </c>
      <c r="Q18" s="80">
        <v>0.41666666666666902</v>
      </c>
      <c r="R18" s="80">
        <v>0.42708333333333598</v>
      </c>
      <c r="S18" s="80">
        <v>0.437500000000003</v>
      </c>
      <c r="T18" s="80">
        <v>0.44791666666667002</v>
      </c>
      <c r="U18" s="80">
        <v>0.45833333333333698</v>
      </c>
      <c r="V18" s="80">
        <v>0.468750000000004</v>
      </c>
      <c r="W18" s="80">
        <v>0.47916666666667102</v>
      </c>
      <c r="X18" s="80">
        <v>0.48958333333333798</v>
      </c>
      <c r="Y18" s="80">
        <v>0.500000000000005</v>
      </c>
      <c r="Z18" s="80">
        <v>0.51041666666667196</v>
      </c>
      <c r="AA18" s="80">
        <v>0.52083333333333903</v>
      </c>
      <c r="AB18" s="80">
        <v>0.531250000000006</v>
      </c>
      <c r="AC18" s="80">
        <v>0.54166666666667296</v>
      </c>
      <c r="AD18" s="80">
        <v>0.55208333333334003</v>
      </c>
      <c r="AE18" s="80">
        <v>0.56250000000000699</v>
      </c>
      <c r="AF18" s="80">
        <v>0.57291666666667396</v>
      </c>
      <c r="AG18" s="80">
        <v>0.58333333333334103</v>
      </c>
      <c r="AH18" s="80">
        <v>0.59375000000000799</v>
      </c>
      <c r="AI18" s="80">
        <v>0.60416666666667496</v>
      </c>
      <c r="AJ18" s="80">
        <v>0.61458333333334203</v>
      </c>
      <c r="AK18" s="80">
        <v>0.62500000000000999</v>
      </c>
      <c r="AL18" s="80">
        <v>0.63541666666667695</v>
      </c>
      <c r="AM18" s="80">
        <v>0.64583333333334403</v>
      </c>
      <c r="AN18" s="80">
        <v>0.65625000000001099</v>
      </c>
      <c r="AO18" s="80">
        <v>0.66666666666667795</v>
      </c>
      <c r="AP18" s="80">
        <v>0.67708333333334503</v>
      </c>
      <c r="AQ18" s="80">
        <v>0.68750000000001199</v>
      </c>
      <c r="AR18" s="80">
        <v>0.69791666666667895</v>
      </c>
      <c r="AS18" s="80">
        <v>0.70833333333334603</v>
      </c>
      <c r="AT18" s="80">
        <v>0.71875000000001299</v>
      </c>
      <c r="AU18" s="80">
        <v>0.72916666666667995</v>
      </c>
      <c r="AV18" s="80">
        <v>0.73958333333334703</v>
      </c>
      <c r="AW18" s="79">
        <v>0.75000000000001399</v>
      </c>
      <c r="AX18" s="79">
        <v>0.76041666666668095</v>
      </c>
      <c r="AY18" s="79">
        <v>0.77083333333334803</v>
      </c>
      <c r="AZ18" s="79">
        <v>0.78125000000001499</v>
      </c>
      <c r="BA18" s="79">
        <v>0.79166666666666496</v>
      </c>
      <c r="BB18" s="79">
        <v>0.80208333333333204</v>
      </c>
      <c r="BC18" s="79">
        <v>0.812499999999998</v>
      </c>
      <c r="BD18" s="78">
        <v>0.82291666666666496</v>
      </c>
    </row>
    <row r="19" spans="1:63" ht="23.1" customHeight="1">
      <c r="B19" s="109" t="s">
        <v>157</v>
      </c>
      <c r="C19" s="110"/>
      <c r="D19" s="111"/>
      <c r="E19" s="81">
        <v>0.29166666666666669</v>
      </c>
      <c r="F19" s="79">
        <v>0.30208333333333331</v>
      </c>
      <c r="G19" s="79">
        <v>0.3125</v>
      </c>
      <c r="H19" s="79">
        <v>0.32291666666666702</v>
      </c>
      <c r="I19" s="79">
        <v>0.33333333333333298</v>
      </c>
      <c r="J19" s="79">
        <v>0.34375</v>
      </c>
      <c r="K19" s="79">
        <v>0.35416666666666669</v>
      </c>
      <c r="L19" s="79">
        <v>0.36458333333333298</v>
      </c>
      <c r="M19" s="79">
        <v>0.375000000000001</v>
      </c>
      <c r="N19" s="79">
        <v>0.38541666666666802</v>
      </c>
      <c r="O19" s="79">
        <v>0.39583333333333498</v>
      </c>
      <c r="P19" s="79">
        <v>0.406250000000002</v>
      </c>
      <c r="Q19" s="79">
        <v>0.41666666666666902</v>
      </c>
      <c r="R19" s="80">
        <v>0.42708333333333598</v>
      </c>
      <c r="S19" s="80">
        <v>0.437500000000003</v>
      </c>
      <c r="T19" s="80">
        <v>0.44791666666667002</v>
      </c>
      <c r="U19" s="80">
        <v>0.45833333333333698</v>
      </c>
      <c r="V19" s="80">
        <v>0.468750000000004</v>
      </c>
      <c r="W19" s="80">
        <v>0.47916666666667102</v>
      </c>
      <c r="X19" s="80">
        <v>0.48958333333333798</v>
      </c>
      <c r="Y19" s="80">
        <v>0.500000000000005</v>
      </c>
      <c r="Z19" s="80">
        <v>0.51041666666667196</v>
      </c>
      <c r="AA19" s="80">
        <v>0.52083333333333903</v>
      </c>
      <c r="AB19" s="80">
        <v>0.531250000000006</v>
      </c>
      <c r="AC19" s="80">
        <v>0.54166666666667296</v>
      </c>
      <c r="AD19" s="80">
        <v>0.55208333333334003</v>
      </c>
      <c r="AE19" s="80">
        <v>0.56250000000000699</v>
      </c>
      <c r="AF19" s="80">
        <v>0.57291666666667396</v>
      </c>
      <c r="AG19" s="80">
        <v>0.58333333333334103</v>
      </c>
      <c r="AH19" s="80">
        <v>0.59375000000000799</v>
      </c>
      <c r="AI19" s="80">
        <v>0.60416666666667496</v>
      </c>
      <c r="AJ19" s="80">
        <v>0.61458333333334203</v>
      </c>
      <c r="AK19" s="80">
        <v>0.62500000000000999</v>
      </c>
      <c r="AL19" s="80">
        <v>0.63541666666667695</v>
      </c>
      <c r="AM19" s="80">
        <v>0.64583333333334403</v>
      </c>
      <c r="AN19" s="80">
        <v>0.65625000000001099</v>
      </c>
      <c r="AO19" s="80">
        <v>0.66666666666667795</v>
      </c>
      <c r="AP19" s="80">
        <v>0.67708333333334503</v>
      </c>
      <c r="AQ19" s="80">
        <v>0.68750000000001199</v>
      </c>
      <c r="AR19" s="80">
        <v>0.69791666666667895</v>
      </c>
      <c r="AS19" s="80">
        <v>0.70833333333334603</v>
      </c>
      <c r="AT19" s="80">
        <v>0.71875000000001299</v>
      </c>
      <c r="AU19" s="80">
        <v>0.72916666666667995</v>
      </c>
      <c r="AV19" s="80">
        <v>0.73958333333334703</v>
      </c>
      <c r="AW19" s="80">
        <v>0.75000000000001399</v>
      </c>
      <c r="AX19" s="79">
        <v>0.76041666666668095</v>
      </c>
      <c r="AY19" s="79">
        <v>0.77083333333334803</v>
      </c>
      <c r="AZ19" s="79">
        <v>0.78125000000001499</v>
      </c>
      <c r="BA19" s="79">
        <v>0.79166666666666496</v>
      </c>
      <c r="BB19" s="79">
        <v>0.80208333333333204</v>
      </c>
      <c r="BC19" s="79">
        <v>0.812499999999998</v>
      </c>
      <c r="BD19" s="78">
        <v>0.82291666666666496</v>
      </c>
    </row>
    <row r="20" spans="1:63" ht="23.1" customHeight="1">
      <c r="B20" s="109" t="s">
        <v>158</v>
      </c>
      <c r="C20" s="110"/>
      <c r="D20" s="111"/>
      <c r="E20" s="81">
        <v>0.29166666666666669</v>
      </c>
      <c r="F20" s="79">
        <v>0.30208333333333331</v>
      </c>
      <c r="G20" s="79">
        <v>0.3125</v>
      </c>
      <c r="H20" s="79">
        <v>0.32291666666666702</v>
      </c>
      <c r="I20" s="79">
        <v>0.33333333333333298</v>
      </c>
      <c r="J20" s="79">
        <v>0.34375</v>
      </c>
      <c r="K20" s="79">
        <v>0.35416666666666669</v>
      </c>
      <c r="L20" s="79">
        <v>0.36458333333333298</v>
      </c>
      <c r="M20" s="79">
        <v>0.375000000000001</v>
      </c>
      <c r="N20" s="79">
        <v>0.38541666666666802</v>
      </c>
      <c r="O20" s="79">
        <v>0.39583333333333498</v>
      </c>
      <c r="P20" s="79">
        <v>0.406250000000002</v>
      </c>
      <c r="Q20" s="79">
        <v>0.41666666666666902</v>
      </c>
      <c r="R20" s="79">
        <v>0.42708333333333598</v>
      </c>
      <c r="S20" s="80">
        <v>0.437500000000003</v>
      </c>
      <c r="T20" s="80">
        <v>0.44791666666667002</v>
      </c>
      <c r="U20" s="80">
        <v>0.45833333333333698</v>
      </c>
      <c r="V20" s="80">
        <v>0.468750000000004</v>
      </c>
      <c r="W20" s="80">
        <v>0.47916666666667102</v>
      </c>
      <c r="X20" s="80">
        <v>0.48958333333333798</v>
      </c>
      <c r="Y20" s="80">
        <v>0.500000000000005</v>
      </c>
      <c r="Z20" s="80">
        <v>0.51041666666667196</v>
      </c>
      <c r="AA20" s="80">
        <v>0.52083333333333903</v>
      </c>
      <c r="AB20" s="80">
        <v>0.531250000000006</v>
      </c>
      <c r="AC20" s="80">
        <v>0.54166666666667296</v>
      </c>
      <c r="AD20" s="80">
        <v>0.55208333333334003</v>
      </c>
      <c r="AE20" s="80">
        <v>0.56250000000000699</v>
      </c>
      <c r="AF20" s="80">
        <v>0.57291666666667396</v>
      </c>
      <c r="AG20" s="80">
        <v>0.58333333333334103</v>
      </c>
      <c r="AH20" s="80">
        <v>0.59375000000000799</v>
      </c>
      <c r="AI20" s="80">
        <v>0.60416666666667496</v>
      </c>
      <c r="AJ20" s="80">
        <v>0.61458333333334203</v>
      </c>
      <c r="AK20" s="80">
        <v>0.62500000000000999</v>
      </c>
      <c r="AL20" s="80">
        <v>0.63541666666667695</v>
      </c>
      <c r="AM20" s="80">
        <v>0.64583333333334403</v>
      </c>
      <c r="AN20" s="80">
        <v>0.65625000000001099</v>
      </c>
      <c r="AO20" s="80">
        <v>0.66666666666667795</v>
      </c>
      <c r="AP20" s="80">
        <v>0.67708333333334503</v>
      </c>
      <c r="AQ20" s="80">
        <v>0.68750000000001199</v>
      </c>
      <c r="AR20" s="80">
        <v>0.69791666666667895</v>
      </c>
      <c r="AS20" s="80">
        <v>0.70833333333334603</v>
      </c>
      <c r="AT20" s="80">
        <v>0.71875000000001299</v>
      </c>
      <c r="AU20" s="80">
        <v>0.72916666666667995</v>
      </c>
      <c r="AV20" s="80">
        <v>0.73958333333334703</v>
      </c>
      <c r="AW20" s="80">
        <v>0.75000000000001399</v>
      </c>
      <c r="AX20" s="80">
        <v>0.76041666666668095</v>
      </c>
      <c r="AY20" s="79">
        <v>0.77083333333334803</v>
      </c>
      <c r="AZ20" s="79">
        <v>0.78125000000001499</v>
      </c>
      <c r="BA20" s="79">
        <v>0.79166666666666496</v>
      </c>
      <c r="BB20" s="79">
        <v>0.80208333333333204</v>
      </c>
      <c r="BC20" s="79">
        <v>0.812499999999998</v>
      </c>
      <c r="BD20" s="78">
        <v>0.82291666666666496</v>
      </c>
    </row>
    <row r="21" spans="1:63" s="72" customFormat="1" ht="23.1" customHeight="1" thickBot="1">
      <c r="A21"/>
      <c r="B21" s="119" t="s">
        <v>88</v>
      </c>
      <c r="C21" s="120"/>
      <c r="D21" s="121"/>
      <c r="E21" s="77">
        <v>0.29166666666666669</v>
      </c>
      <c r="F21" s="76">
        <v>0.30208333333333331</v>
      </c>
      <c r="G21" s="76">
        <v>0.3125</v>
      </c>
      <c r="H21" s="76">
        <v>0.32291666666666702</v>
      </c>
      <c r="I21" s="76">
        <v>0.33333333333333298</v>
      </c>
      <c r="J21" s="76">
        <v>0.34375</v>
      </c>
      <c r="K21" s="76">
        <v>0.35416666666666602</v>
      </c>
      <c r="L21" s="76">
        <v>0.36458333333333298</v>
      </c>
      <c r="M21" s="76">
        <v>0.375000000000001</v>
      </c>
      <c r="N21" s="76">
        <v>0.38541666666666802</v>
      </c>
      <c r="O21" s="76">
        <v>0.39583333333333498</v>
      </c>
      <c r="P21" s="76">
        <v>0.406250000000002</v>
      </c>
      <c r="Q21" s="76">
        <v>0.41666666666666902</v>
      </c>
      <c r="R21" s="76">
        <v>0.42708333333333598</v>
      </c>
      <c r="S21" s="76">
        <v>0.437500000000003</v>
      </c>
      <c r="T21" s="76">
        <v>0.44791666666667002</v>
      </c>
      <c r="U21" s="76">
        <v>0.45833333333333698</v>
      </c>
      <c r="V21" s="76">
        <v>0.468750000000004</v>
      </c>
      <c r="W21" s="76">
        <v>0.47916666666667102</v>
      </c>
      <c r="X21" s="76">
        <v>0.48958333333333798</v>
      </c>
      <c r="Y21" s="76">
        <v>0.500000000000005</v>
      </c>
      <c r="Z21" s="76">
        <v>0.51041666666667196</v>
      </c>
      <c r="AA21" s="76">
        <v>0.52083333333333903</v>
      </c>
      <c r="AB21" s="76">
        <v>0.531250000000006</v>
      </c>
      <c r="AC21" s="76">
        <v>0.54166666666667296</v>
      </c>
      <c r="AD21" s="76">
        <v>0.55208333333334003</v>
      </c>
      <c r="AE21" s="76">
        <v>0.56250000000000699</v>
      </c>
      <c r="AF21" s="76">
        <v>0.57291666666667396</v>
      </c>
      <c r="AG21" s="76">
        <v>0.58333333333334103</v>
      </c>
      <c r="AH21" s="76">
        <v>0.59375000000000799</v>
      </c>
      <c r="AI21" s="76">
        <v>0.60416666666667496</v>
      </c>
      <c r="AJ21" s="76">
        <v>0.61458333333334203</v>
      </c>
      <c r="AK21" s="76">
        <v>0.62500000000000999</v>
      </c>
      <c r="AL21" s="75">
        <v>0.63541666666667695</v>
      </c>
      <c r="AM21" s="75">
        <v>0.64583333333334403</v>
      </c>
      <c r="AN21" s="75">
        <v>0.65625000000001099</v>
      </c>
      <c r="AO21" s="75">
        <v>0.66666666666667795</v>
      </c>
      <c r="AP21" s="75">
        <v>0.67708333333334503</v>
      </c>
      <c r="AQ21" s="75">
        <v>0.68750000000001199</v>
      </c>
      <c r="AR21" s="75">
        <v>0.69791666666667895</v>
      </c>
      <c r="AS21" s="75">
        <v>0.70833333333334603</v>
      </c>
      <c r="AT21" s="75">
        <v>0.71875000000001299</v>
      </c>
      <c r="AU21" s="75">
        <v>0.72916666666667995</v>
      </c>
      <c r="AV21" s="75">
        <v>0.73958333333334703</v>
      </c>
      <c r="AW21" s="75">
        <v>0.75000000000001399</v>
      </c>
      <c r="AX21" s="75">
        <v>0.76041666666668095</v>
      </c>
      <c r="AY21" s="75">
        <v>0.77083333333334803</v>
      </c>
      <c r="AZ21" s="75">
        <v>0.78125000000001499</v>
      </c>
      <c r="BA21" s="75">
        <v>0.79166666666666496</v>
      </c>
      <c r="BB21" s="75">
        <v>0.80208333333333204</v>
      </c>
      <c r="BC21" s="75">
        <v>0.812499999999998</v>
      </c>
      <c r="BD21" s="74">
        <v>0.82291666666666496</v>
      </c>
    </row>
    <row r="22" spans="1:63" s="72" customFormat="1">
      <c r="A22"/>
      <c r="B22" s="73"/>
      <c r="C22" s="73"/>
      <c r="D22" s="73"/>
    </row>
    <row r="23" spans="1:63">
      <c r="B23" s="73"/>
      <c r="C23" s="73"/>
      <c r="D23" s="73"/>
      <c r="E23" s="72"/>
      <c r="F23" s="72"/>
      <c r="G23" s="72"/>
      <c r="H23" s="72"/>
      <c r="I23" s="72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2"/>
      <c r="Y23" s="72"/>
      <c r="Z23" s="72"/>
      <c r="AA23" s="72"/>
      <c r="AB23" s="72"/>
      <c r="AC23" s="72"/>
      <c r="AD23" s="72"/>
      <c r="AE23" s="72"/>
      <c r="AF23" s="72"/>
      <c r="AG23" s="72"/>
      <c r="AH23" s="72"/>
      <c r="AI23" s="72"/>
      <c r="AJ23" s="72"/>
      <c r="AK23" s="72"/>
      <c r="AL23" s="72"/>
      <c r="AM23" s="72"/>
      <c r="AN23" s="72"/>
      <c r="AO23" s="72"/>
      <c r="AP23" s="72"/>
      <c r="AQ23" s="72"/>
      <c r="AR23" s="72"/>
      <c r="AS23" s="72"/>
      <c r="AT23" s="72"/>
      <c r="AU23" s="72"/>
      <c r="AV23" s="72"/>
      <c r="AW23" s="72"/>
      <c r="AX23" s="72"/>
      <c r="AY23" s="72"/>
      <c r="AZ23" s="72"/>
      <c r="BA23" s="72"/>
      <c r="BB23" s="72"/>
      <c r="BC23" s="72"/>
      <c r="BD23" s="72"/>
      <c r="BE23" s="72"/>
      <c r="BF23" s="72"/>
      <c r="BG23" s="72"/>
      <c r="BH23" s="72"/>
      <c r="BI23" s="72"/>
      <c r="BJ23" s="72"/>
      <c r="BK23" s="72"/>
    </row>
    <row r="24" spans="1:63"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/>
      <c r="Z24" s="72"/>
      <c r="AA24" s="72"/>
      <c r="AB24" s="72"/>
      <c r="AC24" s="72"/>
      <c r="AD24" s="72"/>
      <c r="AE24" s="72"/>
      <c r="AF24" s="72"/>
      <c r="AG24" s="72"/>
      <c r="AH24" s="72"/>
      <c r="AI24" s="72"/>
      <c r="AJ24" s="72"/>
      <c r="AK24" s="72"/>
      <c r="AL24" s="72"/>
      <c r="AM24" s="72"/>
      <c r="AN24" s="72"/>
      <c r="AO24" s="72"/>
      <c r="AP24" s="72"/>
      <c r="AQ24" s="72"/>
      <c r="AR24" s="72"/>
      <c r="AS24" s="72"/>
      <c r="AT24" s="72"/>
      <c r="AU24" s="72"/>
      <c r="AV24" s="72"/>
      <c r="AW24" s="72"/>
      <c r="AX24" s="72"/>
      <c r="AY24" s="72"/>
      <c r="AZ24" s="72"/>
      <c r="BA24" s="72"/>
      <c r="BB24" s="72"/>
      <c r="BC24" s="72"/>
      <c r="BD24" s="72"/>
      <c r="BE24" s="72"/>
      <c r="BF24" s="72"/>
      <c r="BG24" s="72"/>
      <c r="BH24" s="72"/>
      <c r="BI24" s="72"/>
      <c r="BJ24" s="72"/>
      <c r="BK24" s="72"/>
    </row>
    <row r="25" spans="1:63">
      <c r="E25" s="72"/>
      <c r="F25" s="72"/>
      <c r="G25" s="72"/>
      <c r="H25" s="72"/>
      <c r="I25" s="72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  <c r="AA25" s="72"/>
      <c r="AB25" s="72"/>
      <c r="AC25" s="72"/>
      <c r="AD25" s="72"/>
      <c r="AE25" s="72"/>
      <c r="AF25" s="72"/>
      <c r="AG25" s="72"/>
      <c r="AH25" s="72"/>
      <c r="AI25" s="72"/>
      <c r="AJ25" s="72"/>
      <c r="AK25" s="72"/>
      <c r="AL25" s="72"/>
      <c r="AM25" s="72"/>
      <c r="AN25" s="72"/>
      <c r="AO25" s="72"/>
      <c r="AP25" s="72"/>
      <c r="AQ25" s="72"/>
      <c r="AR25" s="72"/>
      <c r="AS25" s="72"/>
      <c r="AT25" s="72"/>
      <c r="AU25" s="72"/>
      <c r="AV25" s="72"/>
      <c r="AW25" s="72"/>
      <c r="AX25" s="72"/>
      <c r="AY25" s="72"/>
      <c r="AZ25" s="72"/>
      <c r="BA25" s="72"/>
      <c r="BB25" s="72"/>
      <c r="BC25" s="72"/>
      <c r="BD25" s="72"/>
      <c r="BE25" s="72"/>
      <c r="BF25" s="72"/>
      <c r="BG25" s="72"/>
      <c r="BH25" s="72"/>
      <c r="BI25" s="72"/>
      <c r="BJ25" s="72"/>
      <c r="BK25" s="72"/>
    </row>
    <row r="26" spans="1:63">
      <c r="E26" s="72"/>
      <c r="F26" s="72"/>
      <c r="G26" s="72"/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2"/>
      <c r="Y26" s="72"/>
      <c r="Z26" s="72"/>
      <c r="AA26" s="72"/>
      <c r="AB26" s="72"/>
      <c r="AC26" s="72"/>
      <c r="AD26" s="72"/>
      <c r="AE26" s="72"/>
      <c r="AF26" s="72"/>
      <c r="AG26" s="72"/>
      <c r="AH26" s="72"/>
      <c r="AI26" s="72"/>
      <c r="AJ26" s="72"/>
      <c r="AK26" s="72"/>
      <c r="AL26" s="72"/>
      <c r="AM26" s="72"/>
      <c r="AN26" s="72"/>
      <c r="AO26" s="72"/>
      <c r="AP26" s="72"/>
      <c r="AQ26" s="72"/>
      <c r="AR26" s="72"/>
      <c r="AS26" s="72"/>
      <c r="AT26" s="72"/>
      <c r="AU26" s="72"/>
      <c r="AV26" s="72"/>
      <c r="AW26" s="72"/>
      <c r="AX26" s="72"/>
      <c r="AY26" s="72"/>
      <c r="AZ26" s="72"/>
      <c r="BA26" s="72"/>
      <c r="BB26" s="72"/>
      <c r="BC26" s="72"/>
      <c r="BD26" s="72"/>
      <c r="BE26" s="72"/>
      <c r="BF26" s="72"/>
      <c r="BG26" s="72"/>
      <c r="BH26" s="72"/>
      <c r="BI26" s="72"/>
      <c r="BJ26" s="72"/>
      <c r="BK26" s="72"/>
    </row>
    <row r="27" spans="1:63">
      <c r="E27" s="72"/>
      <c r="F27" s="72"/>
      <c r="G27" s="72"/>
      <c r="H27" s="72"/>
      <c r="I27" s="72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  <c r="AA27" s="72"/>
      <c r="AB27" s="72"/>
      <c r="AC27" s="72"/>
      <c r="AD27" s="72"/>
      <c r="AE27" s="72"/>
      <c r="AF27" s="72"/>
      <c r="AG27" s="72"/>
      <c r="AH27" s="72"/>
      <c r="AI27" s="72"/>
      <c r="AJ27" s="72"/>
      <c r="AK27" s="72"/>
      <c r="AL27" s="72"/>
      <c r="AM27" s="72"/>
      <c r="AN27" s="72"/>
      <c r="AO27" s="72"/>
      <c r="AP27" s="72"/>
      <c r="AQ27" s="72"/>
      <c r="AR27" s="72"/>
      <c r="AS27" s="72"/>
      <c r="AT27" s="72"/>
      <c r="AU27" s="72"/>
      <c r="AV27" s="72"/>
      <c r="AW27" s="72"/>
      <c r="AX27" s="72"/>
      <c r="AY27" s="72"/>
      <c r="AZ27" s="72"/>
      <c r="BA27" s="72"/>
      <c r="BB27" s="72"/>
      <c r="BC27" s="72"/>
      <c r="BD27" s="72"/>
      <c r="BE27" s="72"/>
      <c r="BF27" s="72"/>
      <c r="BG27" s="72"/>
      <c r="BH27" s="72"/>
      <c r="BI27" s="72"/>
      <c r="BJ27" s="72"/>
      <c r="BK27" s="72"/>
    </row>
    <row r="28" spans="1:63"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  <c r="AA28" s="72"/>
      <c r="AB28" s="72"/>
      <c r="AC28" s="72"/>
      <c r="AD28" s="72"/>
      <c r="AE28" s="72"/>
      <c r="AF28" s="72"/>
      <c r="AG28" s="72"/>
      <c r="AH28" s="72"/>
      <c r="AI28" s="72"/>
      <c r="AJ28" s="72"/>
      <c r="AK28" s="72"/>
      <c r="AL28" s="72"/>
      <c r="AM28" s="72"/>
      <c r="AN28" s="72"/>
      <c r="AO28" s="72"/>
      <c r="AP28" s="72"/>
      <c r="AQ28" s="72"/>
      <c r="AR28" s="72"/>
      <c r="AS28" s="72"/>
      <c r="AT28" s="72"/>
      <c r="AU28" s="72"/>
      <c r="AV28" s="72"/>
      <c r="AW28" s="72"/>
      <c r="AX28" s="72"/>
      <c r="AY28" s="72"/>
      <c r="AZ28" s="72"/>
      <c r="BA28" s="72"/>
      <c r="BB28" s="72"/>
      <c r="BC28" s="72"/>
      <c r="BD28" s="72"/>
      <c r="BE28" s="72"/>
      <c r="BF28" s="72"/>
      <c r="BG28" s="72"/>
      <c r="BH28" s="72"/>
      <c r="BI28" s="72"/>
      <c r="BJ28" s="72"/>
      <c r="BK28" s="72"/>
    </row>
    <row r="29" spans="1:63">
      <c r="E29" s="72"/>
      <c r="F29" s="72"/>
      <c r="G29" s="72"/>
      <c r="H29" s="72"/>
      <c r="I29" s="72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  <c r="AA29" s="72"/>
      <c r="AB29" s="72"/>
      <c r="AC29" s="72"/>
      <c r="AD29" s="72"/>
      <c r="AE29" s="72"/>
      <c r="AF29" s="72"/>
      <c r="AG29" s="72"/>
      <c r="AH29" s="72"/>
      <c r="AI29" s="72"/>
      <c r="AJ29" s="72"/>
      <c r="AK29" s="72"/>
      <c r="AL29" s="72"/>
      <c r="AM29" s="72"/>
      <c r="AN29" s="72"/>
      <c r="AO29" s="72"/>
      <c r="AP29" s="72"/>
      <c r="AQ29" s="72"/>
      <c r="AR29" s="72"/>
      <c r="AS29" s="72"/>
      <c r="AT29" s="72"/>
      <c r="AU29" s="72"/>
      <c r="AV29" s="72"/>
      <c r="AW29" s="72"/>
      <c r="AX29" s="72"/>
      <c r="AY29" s="72"/>
      <c r="AZ29" s="72"/>
      <c r="BA29" s="72"/>
      <c r="BB29" s="72"/>
      <c r="BC29" s="72"/>
      <c r="BD29" s="72"/>
      <c r="BE29" s="72"/>
      <c r="BF29" s="72"/>
      <c r="BG29" s="72"/>
      <c r="BH29" s="72"/>
      <c r="BI29" s="72"/>
      <c r="BJ29" s="72"/>
      <c r="BK29" s="72"/>
    </row>
    <row r="30" spans="1:63"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  <c r="AA30" s="72"/>
      <c r="AB30" s="72"/>
      <c r="AC30" s="72"/>
      <c r="AD30" s="72"/>
      <c r="AE30" s="72"/>
      <c r="AF30" s="72"/>
      <c r="AG30" s="72"/>
      <c r="AH30" s="72"/>
      <c r="AI30" s="72"/>
      <c r="AJ30" s="72"/>
      <c r="AK30" s="72"/>
      <c r="AL30" s="72"/>
      <c r="AM30" s="72"/>
      <c r="AN30" s="72"/>
      <c r="AO30" s="72"/>
      <c r="AP30" s="72"/>
      <c r="AQ30" s="72"/>
      <c r="AR30" s="72"/>
      <c r="AS30" s="72"/>
      <c r="AT30" s="72"/>
      <c r="AU30" s="72"/>
      <c r="AV30" s="72"/>
      <c r="AW30" s="72"/>
      <c r="AX30" s="72"/>
      <c r="AY30" s="72"/>
      <c r="AZ30" s="72"/>
      <c r="BA30" s="72"/>
      <c r="BB30" s="72"/>
      <c r="BC30" s="72"/>
      <c r="BD30" s="72"/>
      <c r="BE30" s="72"/>
      <c r="BF30" s="72"/>
      <c r="BG30" s="72"/>
      <c r="BH30" s="72"/>
      <c r="BI30" s="72"/>
      <c r="BJ30" s="72"/>
      <c r="BK30" s="72"/>
    </row>
  </sheetData>
  <mergeCells count="56">
    <mergeCell ref="B21:D21"/>
    <mergeCell ref="B16:D16"/>
    <mergeCell ref="B17:D17"/>
    <mergeCell ref="B18:D18"/>
    <mergeCell ref="B19:D19"/>
    <mergeCell ref="B20:D20"/>
    <mergeCell ref="BC3:BD3"/>
    <mergeCell ref="B7:D7"/>
    <mergeCell ref="B8:D8"/>
    <mergeCell ref="B9:D9"/>
    <mergeCell ref="B10:D10"/>
    <mergeCell ref="Q6:T6"/>
    <mergeCell ref="U6:X6"/>
    <mergeCell ref="Y6:AB6"/>
    <mergeCell ref="AC6:AF6"/>
    <mergeCell ref="AG6:AJ6"/>
    <mergeCell ref="AK6:AN6"/>
    <mergeCell ref="AO6:AR6"/>
    <mergeCell ref="AS6:AV6"/>
    <mergeCell ref="AW6:AZ6"/>
    <mergeCell ref="BA6:BD6"/>
    <mergeCell ref="AW3:AX3"/>
    <mergeCell ref="B11:D11"/>
    <mergeCell ref="B12:D12"/>
    <mergeCell ref="B13:D13"/>
    <mergeCell ref="B14:D14"/>
    <mergeCell ref="B15:D15"/>
    <mergeCell ref="AY3:AZ3"/>
    <mergeCell ref="BA3:BB3"/>
    <mergeCell ref="AI3:AJ3"/>
    <mergeCell ref="AK3:AL3"/>
    <mergeCell ref="AM3:AN3"/>
    <mergeCell ref="AO3:AP3"/>
    <mergeCell ref="AQ3:AR3"/>
    <mergeCell ref="Q3:R3"/>
    <mergeCell ref="S3:T3"/>
    <mergeCell ref="U3:V3"/>
    <mergeCell ref="W3:X3"/>
    <mergeCell ref="Y3:Z3"/>
    <mergeCell ref="AA3:AB3"/>
    <mergeCell ref="AC3:AD3"/>
    <mergeCell ref="AE3:AF3"/>
    <mergeCell ref="AG3:AH3"/>
    <mergeCell ref="AU3:AV3"/>
    <mergeCell ref="AS3:AT3"/>
    <mergeCell ref="B3:D3"/>
    <mergeCell ref="B6:D6"/>
    <mergeCell ref="E3:F3"/>
    <mergeCell ref="G3:H3"/>
    <mergeCell ref="I3:J3"/>
    <mergeCell ref="M3:N3"/>
    <mergeCell ref="E6:H6"/>
    <mergeCell ref="I6:L6"/>
    <mergeCell ref="M6:P6"/>
    <mergeCell ref="O3:P3"/>
    <mergeCell ref="K3:L3"/>
  </mergeCells>
  <phoneticPr fontId="1"/>
  <conditionalFormatting sqref="D3:E3 G3 I3 K3 M3 O3 Q3 S3 U3 W3 Y3 AA3 AC3 AE3 AG3 AI3 AK3 AM3 AO3 AQ3 AS3 AU3 AW3 AY3 BA3">
    <cfRule type="expression" dxfId="8" priority="1">
      <formula>OR(D3:AB18&lt;&gt;"")</formula>
    </cfRule>
  </conditionalFormatting>
  <conditionalFormatting sqref="B3:C3">
    <cfRule type="expression" dxfId="7" priority="2">
      <formula>OR(B3:AA18&lt;&gt;"")</formula>
    </cfRule>
  </conditionalFormatting>
  <dataValidations count="1">
    <dataValidation type="list" allowBlank="1" showInputMessage="1" showErrorMessage="1" sqref="P2">
      <formula1>"1,2,3,4,5,6,7,8,9,10,11,12"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4:I19"/>
  <sheetViews>
    <sheetView topLeftCell="A2" workbookViewId="0">
      <selection activeCell="C16" sqref="C16"/>
    </sheetView>
  </sheetViews>
  <sheetFormatPr defaultRowHeight="18.75"/>
  <cols>
    <col min="1" max="1" width="19.875" customWidth="1"/>
    <col min="2" max="3" width="16.75" customWidth="1"/>
    <col min="4" max="4" width="18.875" customWidth="1"/>
    <col min="5" max="5" width="45" customWidth="1"/>
  </cols>
  <sheetData>
    <row r="4" spans="1:8">
      <c r="A4" s="91" t="s">
        <v>0</v>
      </c>
      <c r="B4" s="91" t="s">
        <v>4</v>
      </c>
      <c r="C4" s="91" t="s">
        <v>1</v>
      </c>
      <c r="D4" s="91" t="s">
        <v>114</v>
      </c>
      <c r="E4" s="91" t="s">
        <v>113</v>
      </c>
    </row>
    <row r="5" spans="1:8">
      <c r="A5" s="89" t="s">
        <v>124</v>
      </c>
      <c r="B5" s="90">
        <v>39978</v>
      </c>
      <c r="C5" s="89" t="s">
        <v>97</v>
      </c>
      <c r="D5" s="89"/>
      <c r="E5" s="89"/>
      <c r="F5" s="89"/>
      <c r="G5" s="89"/>
      <c r="H5" s="89"/>
    </row>
    <row r="6" spans="1:8">
      <c r="A6" s="89" t="s">
        <v>56</v>
      </c>
      <c r="B6" s="90">
        <v>39907</v>
      </c>
      <c r="C6" s="89" t="s">
        <v>97</v>
      </c>
      <c r="D6" s="89" t="s">
        <v>121</v>
      </c>
      <c r="E6" s="89" t="s">
        <v>122</v>
      </c>
      <c r="F6" s="89"/>
      <c r="G6" s="89"/>
      <c r="H6" s="89"/>
    </row>
    <row r="7" spans="1:8">
      <c r="A7" s="89" t="s">
        <v>56</v>
      </c>
      <c r="B7" s="90">
        <v>39909</v>
      </c>
      <c r="C7" s="89" t="s">
        <v>97</v>
      </c>
      <c r="D7" s="89"/>
      <c r="E7" s="89"/>
      <c r="F7" s="89"/>
      <c r="G7" s="89"/>
      <c r="H7" s="89"/>
    </row>
    <row r="8" spans="1:8">
      <c r="A8" s="89" t="s">
        <v>112</v>
      </c>
      <c r="B8" s="90">
        <v>40181</v>
      </c>
      <c r="C8" s="89" t="s">
        <v>107</v>
      </c>
      <c r="D8" s="89"/>
      <c r="E8" s="89"/>
      <c r="F8" s="89"/>
      <c r="G8" s="89"/>
      <c r="H8" s="89"/>
    </row>
    <row r="9" spans="1:8">
      <c r="A9" s="89" t="s">
        <v>111</v>
      </c>
      <c r="B9" s="90">
        <v>40113</v>
      </c>
      <c r="C9" s="89" t="s">
        <v>107</v>
      </c>
      <c r="D9" s="89"/>
      <c r="E9" s="89"/>
      <c r="F9" s="89"/>
      <c r="G9" s="89"/>
      <c r="H9" s="89"/>
    </row>
    <row r="10" spans="1:8">
      <c r="A10" s="89" t="s">
        <v>110</v>
      </c>
      <c r="B10" s="90">
        <v>40120</v>
      </c>
      <c r="C10" s="89" t="s">
        <v>107</v>
      </c>
      <c r="D10" s="89"/>
      <c r="E10" s="89"/>
      <c r="F10" s="89"/>
      <c r="G10" s="89"/>
      <c r="H10" s="89"/>
    </row>
    <row r="11" spans="1:8">
      <c r="A11" s="89" t="s">
        <v>109</v>
      </c>
      <c r="B11" s="90">
        <v>40055</v>
      </c>
      <c r="C11" s="89" t="s">
        <v>97</v>
      </c>
      <c r="D11" s="89"/>
      <c r="E11" s="89"/>
      <c r="F11" s="89"/>
      <c r="G11" s="89"/>
      <c r="H11" s="89"/>
    </row>
    <row r="12" spans="1:8">
      <c r="A12" s="89" t="s">
        <v>108</v>
      </c>
      <c r="B12" s="90">
        <v>40255</v>
      </c>
      <c r="C12" s="89" t="s">
        <v>107</v>
      </c>
      <c r="D12" s="89"/>
      <c r="E12" s="89"/>
      <c r="F12" s="89"/>
      <c r="G12" s="89"/>
      <c r="H12" s="89"/>
    </row>
    <row r="13" spans="1:8">
      <c r="A13" s="89" t="s">
        <v>106</v>
      </c>
      <c r="B13" s="90">
        <v>40052</v>
      </c>
      <c r="C13" s="89" t="s">
        <v>97</v>
      </c>
      <c r="D13" s="89"/>
      <c r="E13" s="89"/>
      <c r="F13" s="89"/>
      <c r="G13" s="89"/>
      <c r="H13" s="89"/>
    </row>
    <row r="14" spans="1:8">
      <c r="A14" s="89" t="s">
        <v>105</v>
      </c>
      <c r="B14" s="90">
        <v>40051</v>
      </c>
      <c r="C14" s="89" t="s">
        <v>97</v>
      </c>
      <c r="D14" s="89"/>
      <c r="E14" s="89"/>
      <c r="F14" s="89"/>
      <c r="G14" s="89"/>
      <c r="H14" s="89"/>
    </row>
    <row r="15" spans="1:8">
      <c r="A15" s="89" t="s">
        <v>104</v>
      </c>
      <c r="B15" s="90">
        <v>39962</v>
      </c>
      <c r="C15" s="89" t="s">
        <v>97</v>
      </c>
      <c r="D15" s="89"/>
      <c r="E15" s="89"/>
      <c r="F15" s="89"/>
      <c r="G15" s="89"/>
      <c r="H15" s="89"/>
    </row>
    <row r="16" spans="1:8">
      <c r="A16" s="89" t="s">
        <v>103</v>
      </c>
      <c r="B16" s="90">
        <v>40050</v>
      </c>
      <c r="C16" s="89" t="s">
        <v>97</v>
      </c>
      <c r="D16" s="89"/>
      <c r="E16" s="89"/>
      <c r="F16" s="89"/>
      <c r="G16" s="89"/>
      <c r="H16" s="89"/>
    </row>
    <row r="17" spans="1:9">
      <c r="A17" s="89" t="s">
        <v>102</v>
      </c>
      <c r="B17" s="90">
        <v>40030</v>
      </c>
      <c r="C17" s="89" t="s">
        <v>97</v>
      </c>
      <c r="D17" s="89"/>
      <c r="E17" s="89"/>
      <c r="F17" s="89"/>
      <c r="G17" s="89"/>
      <c r="H17" s="89"/>
    </row>
    <row r="18" spans="1:9">
      <c r="A18" s="89" t="s">
        <v>101</v>
      </c>
      <c r="B18" s="90">
        <v>39897</v>
      </c>
      <c r="C18" s="89" t="s">
        <v>97</v>
      </c>
      <c r="D18" s="89" t="s">
        <v>100</v>
      </c>
      <c r="E18" s="89" t="s">
        <v>99</v>
      </c>
      <c r="F18" s="89"/>
      <c r="G18" s="89"/>
      <c r="H18" s="89"/>
    </row>
    <row r="19" spans="1:9">
      <c r="A19" s="89" t="s">
        <v>98</v>
      </c>
      <c r="B19" s="90">
        <v>39957</v>
      </c>
      <c r="C19" s="89" t="s">
        <v>97</v>
      </c>
      <c r="D19" s="89" t="s">
        <v>96</v>
      </c>
      <c r="E19" s="89" t="s">
        <v>95</v>
      </c>
      <c r="G19" s="89"/>
      <c r="H19" s="89"/>
      <c r="I19" s="89"/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workbookViewId="0"/>
  </sheetViews>
  <sheetFormatPr defaultColWidth="8.875" defaultRowHeight="18.75"/>
  <sheetData/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B29"/>
  <sheetViews>
    <sheetView workbookViewId="0">
      <selection activeCell="B6" sqref="B6"/>
    </sheetView>
  </sheetViews>
  <sheetFormatPr defaultColWidth="8.875" defaultRowHeight="18.75"/>
  <sheetData>
    <row r="1" spans="2:2">
      <c r="B1" t="s">
        <v>68</v>
      </c>
    </row>
    <row r="3" spans="2:2">
      <c r="B3">
        <f>Sheet5!H4</f>
        <v>0</v>
      </c>
    </row>
    <row r="5" spans="2:2">
      <c r="B5" t="str">
        <f>IF(保育士情報!A$5&lt;&gt;"",LEFT(保育士情報!A$5,FIND(" ",保育士情報!A$5)-1),"")</f>
        <v>小嶋</v>
      </c>
    </row>
    <row r="6" spans="2:2">
      <c r="B6" t="str">
        <f>IF(保育士情報!A$6&lt;&gt;"",LEFT(保育士情報!A$6,FIND(" ",保育士情報!A$6)-1),"")</f>
        <v>渡邉</v>
      </c>
    </row>
    <row r="7" spans="2:2">
      <c r="B7" t="str">
        <f>IF(保育士情報!A$7&lt;&gt;"",LEFT(保育士情報!A$7,FIND(" ",保育士情報!A$7)-1),"")</f>
        <v>黒瀬</v>
      </c>
    </row>
    <row r="8" spans="2:2">
      <c r="B8" t="str">
        <f>IF(保育士情報!A$8&lt;&gt;"",LEFT(保育士情報!A$8,FIND(" ",保育士情報!A$8)-1),"")</f>
        <v>大谷</v>
      </c>
    </row>
    <row r="9" spans="2:2">
      <c r="B9" t="str">
        <f>IF(保育士情報!A$9&lt;&gt;"",LEFT(保育士情報!A$9,FIND(" ",保育士情報!A$9)-1),"")</f>
        <v>神</v>
      </c>
    </row>
    <row r="10" spans="2:2">
      <c r="B10" t="str">
        <f>IF(保育士情報!A$10&lt;&gt;"",LEFT(保育士情報!A$10,FIND(" ",保育士情報!A$10)-1),"")</f>
        <v>佐藤</v>
      </c>
    </row>
    <row r="11" spans="2:2">
      <c r="B11" t="str">
        <f>IF(保育士情報!A$11&lt;&gt;"",LEFT(保育士情報!A$11,FIND(" ",保育士情報!A$11)-1),"")</f>
        <v>山田</v>
      </c>
    </row>
    <row r="12" spans="2:2">
      <c r="B12" t="str">
        <f>IF(保育士情報!A$12&lt;&gt;"",LEFT(保育士情報!A$12,FIND(" ",保育士情報!A$12)-1),"")</f>
        <v>鈴木</v>
      </c>
    </row>
    <row r="13" spans="2:2">
      <c r="B13" t="str">
        <f>IF(保育士情報!A$13&lt;&gt;"",LEFT(保育士情報!A$13,FIND(" ",保育士情報!A$13)-1),"")</f>
        <v>高橋</v>
      </c>
    </row>
    <row r="14" spans="2:2">
      <c r="B14" t="str">
        <f>IF(保育士情報!A$14&lt;&gt;"",LEFT(保育士情報!A$14,FIND(" ",保育士情報!A$14)-1),"")</f>
        <v>斉藤</v>
      </c>
    </row>
    <row r="15" spans="2:2">
      <c r="B15" t="str">
        <f>IF(保育士情報!A$15&lt;&gt;"",LEFT(保育士情報!A$15,FIND(" ",保育士情報!A$15)-1),"")</f>
        <v>田中</v>
      </c>
    </row>
    <row r="16" spans="2:2">
      <c r="B16" t="str">
        <f>IF(保育士情報!A$16&lt;&gt;"",LEFT(保育士情報!A$16,FIND(" ",保育士情報!A$16)-1),"")</f>
        <v>向井</v>
      </c>
    </row>
    <row r="17" spans="2:2">
      <c r="B17" t="str">
        <f>IF(保育士情報!A$17&lt;&gt;"",LEFT(保育士情報!A$17,FIND(" ",保育士情報!A$17)-1),"")</f>
        <v>大西</v>
      </c>
    </row>
    <row r="18" spans="2:2">
      <c r="B18" t="str">
        <f>IF(保育士情報!A$18&lt;&gt;"",LEFT(保育士情報!A$18,FIND(" ",保育士情報!A$18)-1),"")</f>
        <v>三好</v>
      </c>
    </row>
    <row r="19" spans="2:2">
      <c r="B19" t="str">
        <f>IF(保育士情報!A$19&lt;&gt;"",LEFT(保育士情報!A$19,FIND(" ",保育士情報!A$19)-1),"")</f>
        <v>伊藤</v>
      </c>
    </row>
    <row r="20" spans="2:2">
      <c r="B20" t="e">
        <f>IF(保育士情報!#REF!&lt;&gt;"",LEFT(保育士情報!#REF!,FIND(" ",保育士情報!#REF!)-1),"")</f>
        <v>#REF!</v>
      </c>
    </row>
    <row r="21" spans="2:2">
      <c r="B21" t="e">
        <f>IF(保育士情報!#REF!&lt;&gt;"",LEFT(保育士情報!#REF!,FIND(" ",保育士情報!#REF!)-1),"")</f>
        <v>#REF!</v>
      </c>
    </row>
    <row r="22" spans="2:2">
      <c r="B22" t="str">
        <f>IF(保育士情報!A$20&lt;&gt;"",LEFT(保育士情報!A$20,FIND(" ",保育士情報!A$20)-1),"")</f>
        <v/>
      </c>
    </row>
    <row r="23" spans="2:2">
      <c r="B23" t="str">
        <f>IF(保育士情報!A$21&lt;&gt;"",LEFT(保育士情報!A$21,FIND(" ",保育士情報!A$21)-1),"")</f>
        <v/>
      </c>
    </row>
    <row r="24" spans="2:2">
      <c r="B24" t="str">
        <f>IF(保育士情報!A$22&lt;&gt;"",LEFT(保育士情報!A$22,FIND(" ",保育士情報!A$22)-1),"")</f>
        <v/>
      </c>
    </row>
    <row r="25" spans="2:2">
      <c r="B25" t="str">
        <f>IF(保育士情報!A$23&lt;&gt;"",LEFT(保育士情報!A$23,FIND(" ",保育士情報!A$23)-1),"")</f>
        <v/>
      </c>
    </row>
    <row r="26" spans="2:2">
      <c r="B26" t="str">
        <f>IF(保育士情報!A$24&lt;&gt;"",LEFT(保育士情報!A$24,FIND(" ",保育士情報!A$24)-1),"")</f>
        <v/>
      </c>
    </row>
    <row r="27" spans="2:2">
      <c r="B27" t="str">
        <f>IF(保育士情報!A27&lt;&gt;"",LEFT(保育士情報!A27,FIND(" ",保育士情報!A27)-1),"")</f>
        <v/>
      </c>
    </row>
    <row r="28" spans="2:2">
      <c r="B28" t="str">
        <f>IF(保育士情報!A28&lt;&gt;"",LEFT(保育士情報!A28,FIND(" ",保育士情報!A28)-1),"")</f>
        <v/>
      </c>
    </row>
    <row r="29" spans="2:2">
      <c r="B29" t="str">
        <f>IF(保育士情報!A29&lt;&gt;"",LEFT(保育士情報!A29,FIND(" ",保育士情報!A29)-1),"")</f>
        <v/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483"/>
  <sheetViews>
    <sheetView workbookViewId="0">
      <selection activeCell="A177" sqref="A177"/>
    </sheetView>
  </sheetViews>
  <sheetFormatPr defaultColWidth="8.875" defaultRowHeight="18.75"/>
  <cols>
    <col min="1" max="1" width="15.625" bestFit="1" customWidth="1"/>
  </cols>
  <sheetData>
    <row r="1" spans="1:1">
      <c r="A1" s="41">
        <v>42370</v>
      </c>
    </row>
    <row r="2" spans="1:1">
      <c r="A2" s="42">
        <v>42380</v>
      </c>
    </row>
    <row r="3" spans="1:1">
      <c r="A3" s="41">
        <v>42411</v>
      </c>
    </row>
    <row r="4" spans="1:1">
      <c r="A4" s="40">
        <v>42449</v>
      </c>
    </row>
    <row r="5" spans="1:1">
      <c r="A5" s="40">
        <v>42450</v>
      </c>
    </row>
    <row r="6" spans="1:1">
      <c r="A6" s="40">
        <v>42489</v>
      </c>
    </row>
    <row r="7" spans="1:1">
      <c r="A7" s="40">
        <v>42493</v>
      </c>
    </row>
    <row r="8" spans="1:1">
      <c r="A8" s="40">
        <v>42494</v>
      </c>
    </row>
    <row r="9" spans="1:1">
      <c r="A9" s="40">
        <v>42495</v>
      </c>
    </row>
    <row r="10" spans="1:1">
      <c r="A10" s="40">
        <v>42569</v>
      </c>
    </row>
    <row r="11" spans="1:1">
      <c r="A11" s="40">
        <v>42593</v>
      </c>
    </row>
    <row r="12" spans="1:1">
      <c r="A12" s="40">
        <v>42632</v>
      </c>
    </row>
    <row r="13" spans="1:1">
      <c r="A13" s="40">
        <v>42635</v>
      </c>
    </row>
    <row r="14" spans="1:1">
      <c r="A14" s="40">
        <v>42653</v>
      </c>
    </row>
    <row r="15" spans="1:1">
      <c r="A15" s="40">
        <v>42677</v>
      </c>
    </row>
    <row r="16" spans="1:1">
      <c r="A16" s="40">
        <v>42697</v>
      </c>
    </row>
    <row r="17" spans="1:1">
      <c r="A17" s="40">
        <v>42727</v>
      </c>
    </row>
    <row r="18" spans="1:1">
      <c r="A18" s="44">
        <v>42736</v>
      </c>
    </row>
    <row r="19" spans="1:1">
      <c r="A19" s="43">
        <v>42737</v>
      </c>
    </row>
    <row r="20" spans="1:1">
      <c r="A20" s="43">
        <v>42744</v>
      </c>
    </row>
    <row r="21" spans="1:1">
      <c r="A21" s="7">
        <v>42777</v>
      </c>
    </row>
    <row r="22" spans="1:1">
      <c r="A22" s="7">
        <v>42814</v>
      </c>
    </row>
    <row r="23" spans="1:1">
      <c r="A23" s="7">
        <v>42854</v>
      </c>
    </row>
    <row r="24" spans="1:1">
      <c r="A24" s="7">
        <v>42858</v>
      </c>
    </row>
    <row r="25" spans="1:1">
      <c r="A25" s="7">
        <v>42859</v>
      </c>
    </row>
    <row r="26" spans="1:1">
      <c r="A26" s="7">
        <v>42860</v>
      </c>
    </row>
    <row r="27" spans="1:1">
      <c r="A27" s="7">
        <v>42933</v>
      </c>
    </row>
    <row r="28" spans="1:1">
      <c r="A28" s="7">
        <v>42958</v>
      </c>
    </row>
    <row r="29" spans="1:1">
      <c r="A29" s="7">
        <v>42996</v>
      </c>
    </row>
    <row r="30" spans="1:1">
      <c r="A30" s="7">
        <v>43001</v>
      </c>
    </row>
    <row r="31" spans="1:1">
      <c r="A31" s="7">
        <v>43017</v>
      </c>
    </row>
    <row r="32" spans="1:1">
      <c r="A32" s="7">
        <v>43042</v>
      </c>
    </row>
    <row r="33" spans="1:1">
      <c r="A33" s="7">
        <v>43062</v>
      </c>
    </row>
    <row r="34" spans="1:1">
      <c r="A34" s="7">
        <v>43092</v>
      </c>
    </row>
    <row r="35" spans="1:1">
      <c r="A35" s="7">
        <v>43101</v>
      </c>
    </row>
    <row r="36" spans="1:1">
      <c r="A36" s="7">
        <v>43108</v>
      </c>
    </row>
    <row r="37" spans="1:1">
      <c r="A37" s="7">
        <v>43142</v>
      </c>
    </row>
    <row r="38" spans="1:1">
      <c r="A38" s="7">
        <v>43143</v>
      </c>
    </row>
    <row r="39" spans="1:1">
      <c r="A39" s="7">
        <v>43180</v>
      </c>
    </row>
    <row r="40" spans="1:1">
      <c r="A40" s="7">
        <v>43219</v>
      </c>
    </row>
    <row r="41" spans="1:1">
      <c r="A41" s="7">
        <v>43220</v>
      </c>
    </row>
    <row r="42" spans="1:1">
      <c r="A42" s="7">
        <v>43223</v>
      </c>
    </row>
    <row r="43" spans="1:1">
      <c r="A43" s="7">
        <v>43224</v>
      </c>
    </row>
    <row r="44" spans="1:1">
      <c r="A44" s="7">
        <v>43225</v>
      </c>
    </row>
    <row r="45" spans="1:1">
      <c r="A45" s="7">
        <v>43297</v>
      </c>
    </row>
    <row r="46" spans="1:1">
      <c r="A46" s="7">
        <v>43323</v>
      </c>
    </row>
    <row r="47" spans="1:1">
      <c r="A47" s="7">
        <v>43360</v>
      </c>
    </row>
    <row r="48" spans="1:1">
      <c r="A48" s="7">
        <v>43366</v>
      </c>
    </row>
    <row r="49" spans="1:1">
      <c r="A49" s="7">
        <v>43367</v>
      </c>
    </row>
    <row r="50" spans="1:1">
      <c r="A50" s="7">
        <v>43381</v>
      </c>
    </row>
    <row r="51" spans="1:1">
      <c r="A51" s="7">
        <v>43407</v>
      </c>
    </row>
    <row r="52" spans="1:1">
      <c r="A52" s="7">
        <v>43427</v>
      </c>
    </row>
    <row r="53" spans="1:1">
      <c r="A53" s="7">
        <v>43457</v>
      </c>
    </row>
    <row r="54" spans="1:1">
      <c r="A54" s="7">
        <v>43458</v>
      </c>
    </row>
    <row r="55" spans="1:1">
      <c r="A55" s="7">
        <v>43466</v>
      </c>
    </row>
    <row r="56" spans="1:1">
      <c r="A56" s="7">
        <v>43479</v>
      </c>
    </row>
    <row r="57" spans="1:1">
      <c r="A57" s="7">
        <v>43507</v>
      </c>
    </row>
    <row r="58" spans="1:1">
      <c r="A58" s="7">
        <v>43545</v>
      </c>
    </row>
    <row r="59" spans="1:1">
      <c r="A59" s="7">
        <v>43584</v>
      </c>
    </row>
    <row r="60" spans="1:1">
      <c r="A60" s="7">
        <v>43588</v>
      </c>
    </row>
    <row r="61" spans="1:1">
      <c r="A61" s="7">
        <v>43589</v>
      </c>
    </row>
    <row r="62" spans="1:1">
      <c r="A62" s="7">
        <v>43590</v>
      </c>
    </row>
    <row r="63" spans="1:1">
      <c r="A63" s="7">
        <v>43591</v>
      </c>
    </row>
    <row r="64" spans="1:1">
      <c r="A64" s="7">
        <v>43661</v>
      </c>
    </row>
    <row r="65" spans="1:1">
      <c r="A65" s="7">
        <v>43688</v>
      </c>
    </row>
    <row r="66" spans="1:1">
      <c r="A66" s="7">
        <v>43689</v>
      </c>
    </row>
    <row r="67" spans="1:1">
      <c r="A67" s="7">
        <v>43724</v>
      </c>
    </row>
    <row r="68" spans="1:1">
      <c r="A68" s="7">
        <v>43731</v>
      </c>
    </row>
    <row r="69" spans="1:1">
      <c r="A69" s="7">
        <v>43752</v>
      </c>
    </row>
    <row r="70" spans="1:1">
      <c r="A70" s="7">
        <v>43772</v>
      </c>
    </row>
    <row r="71" spans="1:1">
      <c r="A71" s="7">
        <v>43773</v>
      </c>
    </row>
    <row r="72" spans="1:1">
      <c r="A72" s="7">
        <v>43792</v>
      </c>
    </row>
    <row r="73" spans="1:1">
      <c r="A73" s="7">
        <v>43822</v>
      </c>
    </row>
    <row r="74" spans="1:1">
      <c r="A74" s="7">
        <v>43831</v>
      </c>
    </row>
    <row r="75" spans="1:1">
      <c r="A75" s="7">
        <v>43843</v>
      </c>
    </row>
    <row r="76" spans="1:1">
      <c r="A76" s="7">
        <v>43872</v>
      </c>
    </row>
    <row r="77" spans="1:1">
      <c r="A77" s="7">
        <v>43910</v>
      </c>
    </row>
    <row r="78" spans="1:1">
      <c r="A78" s="7">
        <v>43950</v>
      </c>
    </row>
    <row r="79" spans="1:1">
      <c r="A79" s="7">
        <v>43954</v>
      </c>
    </row>
    <row r="80" spans="1:1">
      <c r="A80" s="7">
        <v>43955</v>
      </c>
    </row>
    <row r="81" spans="1:1">
      <c r="A81" s="7">
        <v>43956</v>
      </c>
    </row>
    <row r="82" spans="1:1">
      <c r="A82" s="7">
        <v>43957</v>
      </c>
    </row>
    <row r="83" spans="1:1">
      <c r="A83" s="7">
        <v>44032</v>
      </c>
    </row>
    <row r="84" spans="1:1">
      <c r="A84" s="7">
        <v>44054</v>
      </c>
    </row>
    <row r="85" spans="1:1">
      <c r="A85" s="7">
        <v>44095</v>
      </c>
    </row>
    <row r="86" spans="1:1">
      <c r="A86" s="7">
        <v>44096</v>
      </c>
    </row>
    <row r="87" spans="1:1">
      <c r="A87" s="7">
        <v>44116</v>
      </c>
    </row>
    <row r="88" spans="1:1">
      <c r="A88" s="7">
        <v>44158</v>
      </c>
    </row>
    <row r="89" spans="1:1">
      <c r="A89" s="7">
        <v>44188</v>
      </c>
    </row>
    <row r="90" spans="1:1">
      <c r="A90" s="7">
        <v>44197</v>
      </c>
    </row>
    <row r="91" spans="1:1">
      <c r="A91" s="7">
        <v>44207</v>
      </c>
    </row>
    <row r="92" spans="1:1">
      <c r="A92" s="7">
        <v>44238</v>
      </c>
    </row>
    <row r="93" spans="1:1">
      <c r="A93" s="7">
        <v>44275</v>
      </c>
    </row>
    <row r="94" spans="1:1">
      <c r="A94" s="7">
        <v>44315</v>
      </c>
    </row>
    <row r="95" spans="1:1">
      <c r="A95" s="7">
        <v>44319</v>
      </c>
    </row>
    <row r="96" spans="1:1">
      <c r="A96" s="7">
        <v>44320</v>
      </c>
    </row>
    <row r="97" spans="1:1">
      <c r="A97" s="7">
        <v>44317</v>
      </c>
    </row>
    <row r="98" spans="1:1">
      <c r="A98" s="7">
        <v>44396</v>
      </c>
    </row>
    <row r="99" spans="1:1">
      <c r="A99" s="7">
        <v>44419</v>
      </c>
    </row>
    <row r="100" spans="1:1">
      <c r="A100" s="7">
        <v>44459</v>
      </c>
    </row>
    <row r="101" spans="1:1">
      <c r="A101" s="7">
        <v>44462</v>
      </c>
    </row>
    <row r="102" spans="1:1">
      <c r="A102" s="7">
        <v>44480</v>
      </c>
    </row>
    <row r="103" spans="1:1">
      <c r="A103" s="7">
        <v>44503</v>
      </c>
    </row>
    <row r="104" spans="1:1">
      <c r="A104" s="7">
        <v>44523</v>
      </c>
    </row>
    <row r="105" spans="1:1">
      <c r="A105" s="7">
        <v>44553</v>
      </c>
    </row>
    <row r="106" spans="1:1">
      <c r="A106" s="7">
        <v>44562</v>
      </c>
    </row>
    <row r="107" spans="1:1">
      <c r="A107" s="7">
        <v>44571</v>
      </c>
    </row>
    <row r="108" spans="1:1">
      <c r="A108" s="7">
        <v>44603</v>
      </c>
    </row>
    <row r="109" spans="1:1">
      <c r="A109" s="7">
        <v>44641</v>
      </c>
    </row>
    <row r="110" spans="1:1">
      <c r="A110" s="7">
        <v>44680</v>
      </c>
    </row>
    <row r="111" spans="1:1">
      <c r="A111" s="7">
        <v>44684</v>
      </c>
    </row>
    <row r="112" spans="1:1">
      <c r="A112" s="7">
        <v>44685</v>
      </c>
    </row>
    <row r="113" spans="1:1">
      <c r="A113" s="7">
        <v>44686</v>
      </c>
    </row>
    <row r="114" spans="1:1">
      <c r="A114" s="7">
        <v>44770</v>
      </c>
    </row>
    <row r="115" spans="1:1">
      <c r="A115" s="7">
        <v>44784</v>
      </c>
    </row>
    <row r="116" spans="1:1">
      <c r="A116" s="7">
        <v>44823</v>
      </c>
    </row>
    <row r="117" spans="1:1">
      <c r="A117" s="7">
        <v>44827</v>
      </c>
    </row>
    <row r="118" spans="1:1">
      <c r="A118" s="7">
        <v>44844</v>
      </c>
    </row>
    <row r="119" spans="1:1">
      <c r="A119" s="7">
        <v>44868</v>
      </c>
    </row>
    <row r="120" spans="1:1">
      <c r="A120" s="7">
        <v>44888</v>
      </c>
    </row>
    <row r="121" spans="1:1">
      <c r="A121" s="7">
        <v>44918</v>
      </c>
    </row>
    <row r="122" spans="1:1">
      <c r="A122" s="7">
        <v>44927</v>
      </c>
    </row>
    <row r="123" spans="1:1">
      <c r="A123" s="7">
        <v>44928</v>
      </c>
    </row>
    <row r="124" spans="1:1">
      <c r="A124" s="7">
        <v>44935</v>
      </c>
    </row>
    <row r="125" spans="1:1">
      <c r="A125" s="7">
        <v>44968</v>
      </c>
    </row>
    <row r="126" spans="1:1">
      <c r="A126" s="7">
        <v>45006</v>
      </c>
    </row>
    <row r="127" spans="1:1">
      <c r="A127" s="7">
        <v>45045</v>
      </c>
    </row>
    <row r="128" spans="1:1">
      <c r="A128" s="7">
        <v>45049</v>
      </c>
    </row>
    <row r="129" spans="1:1">
      <c r="A129" s="7">
        <v>45050</v>
      </c>
    </row>
    <row r="130" spans="1:1">
      <c r="A130" s="7">
        <v>45051</v>
      </c>
    </row>
    <row r="131" spans="1:1">
      <c r="A131" s="7">
        <v>45124</v>
      </c>
    </row>
    <row r="132" spans="1:1">
      <c r="A132" s="7">
        <v>45149</v>
      </c>
    </row>
    <row r="133" spans="1:1">
      <c r="A133" s="7">
        <v>45150</v>
      </c>
    </row>
    <row r="134" spans="1:1">
      <c r="A134" s="7">
        <v>45185</v>
      </c>
    </row>
    <row r="135" spans="1:1">
      <c r="A135" s="7">
        <v>45191</v>
      </c>
    </row>
    <row r="136" spans="1:1">
      <c r="A136" s="7">
        <v>45192</v>
      </c>
    </row>
    <row r="137" spans="1:1">
      <c r="A137" s="7">
        <v>45213</v>
      </c>
    </row>
    <row r="138" spans="1:1">
      <c r="A138" s="7">
        <v>45233</v>
      </c>
    </row>
    <row r="139" spans="1:1">
      <c r="A139" s="7">
        <v>45234</v>
      </c>
    </row>
    <row r="140" spans="1:1">
      <c r="A140" s="7">
        <v>45253</v>
      </c>
    </row>
    <row r="141" spans="1:1">
      <c r="A141" s="7">
        <v>45283</v>
      </c>
    </row>
    <row r="142" spans="1:1">
      <c r="A142" s="7">
        <v>45292</v>
      </c>
    </row>
    <row r="143" spans="1:1">
      <c r="A143" s="7">
        <v>45304</v>
      </c>
    </row>
    <row r="144" spans="1:1">
      <c r="A144" s="7">
        <v>45333</v>
      </c>
    </row>
    <row r="145" spans="1:1">
      <c r="A145" s="7">
        <v>45371</v>
      </c>
    </row>
    <row r="146" spans="1:1">
      <c r="A146" s="7">
        <v>45411</v>
      </c>
    </row>
    <row r="147" spans="1:1">
      <c r="A147" s="7">
        <v>45415</v>
      </c>
    </row>
    <row r="148" spans="1:1">
      <c r="A148" s="7">
        <v>45416</v>
      </c>
    </row>
    <row r="149" spans="1:1">
      <c r="A149" s="7">
        <v>45417</v>
      </c>
    </row>
    <row r="150" spans="1:1">
      <c r="A150" s="7">
        <v>45418</v>
      </c>
    </row>
    <row r="151" spans="1:1">
      <c r="A151" s="7">
        <v>45488</v>
      </c>
    </row>
    <row r="152" spans="1:1">
      <c r="A152" s="7">
        <v>45515</v>
      </c>
    </row>
    <row r="153" spans="1:1">
      <c r="A153" s="7">
        <v>45516</v>
      </c>
    </row>
    <row r="154" spans="1:1">
      <c r="A154" s="7">
        <v>45551</v>
      </c>
    </row>
    <row r="155" spans="1:1">
      <c r="A155" s="7">
        <v>45557</v>
      </c>
    </row>
    <row r="156" spans="1:1">
      <c r="A156" s="7">
        <v>45558</v>
      </c>
    </row>
    <row r="157" spans="1:1">
      <c r="A157" s="7">
        <v>45579</v>
      </c>
    </row>
    <row r="158" spans="1:1">
      <c r="A158" s="7">
        <v>45619</v>
      </c>
    </row>
    <row r="159" spans="1:1">
      <c r="A159" s="7">
        <v>45649</v>
      </c>
    </row>
    <row r="160" spans="1:1">
      <c r="A160" s="7">
        <v>45658</v>
      </c>
    </row>
    <row r="161" spans="1:1">
      <c r="A161" s="7">
        <v>45670</v>
      </c>
    </row>
    <row r="162" spans="1:1">
      <c r="A162" s="7">
        <v>45699</v>
      </c>
    </row>
    <row r="163" spans="1:1">
      <c r="A163" s="7">
        <v>45736</v>
      </c>
    </row>
    <row r="164" spans="1:1">
      <c r="A164" s="7">
        <v>45776</v>
      </c>
    </row>
    <row r="165" spans="1:1">
      <c r="A165" s="7">
        <v>45780</v>
      </c>
    </row>
    <row r="166" spans="1:1">
      <c r="A166" s="7">
        <v>45781</v>
      </c>
    </row>
    <row r="167" spans="1:1">
      <c r="A167" s="7">
        <v>45782</v>
      </c>
    </row>
    <row r="168" spans="1:1">
      <c r="A168" s="7">
        <v>45859</v>
      </c>
    </row>
    <row r="169" spans="1:1">
      <c r="A169" s="7">
        <v>45880</v>
      </c>
    </row>
    <row r="170" spans="1:1">
      <c r="A170" s="7">
        <v>45915</v>
      </c>
    </row>
    <row r="171" spans="1:1">
      <c r="A171" s="7">
        <v>45923</v>
      </c>
    </row>
    <row r="172" spans="1:1">
      <c r="A172" s="7">
        <v>45943</v>
      </c>
    </row>
    <row r="173" spans="1:1">
      <c r="A173" s="7">
        <v>45964</v>
      </c>
    </row>
    <row r="174" spans="1:1">
      <c r="A174" s="7">
        <v>45984</v>
      </c>
    </row>
    <row r="175" spans="1:1">
      <c r="A175" s="7">
        <v>45985</v>
      </c>
    </row>
    <row r="176" spans="1:1">
      <c r="A176" s="7">
        <v>46014</v>
      </c>
    </row>
    <row r="177" spans="1:1">
      <c r="A177" s="7"/>
    </row>
    <row r="178" spans="1:1">
      <c r="A178" s="7"/>
    </row>
    <row r="179" spans="1:1">
      <c r="A179" s="7"/>
    </row>
    <row r="180" spans="1:1">
      <c r="A180" s="7"/>
    </row>
    <row r="181" spans="1:1">
      <c r="A181" s="7"/>
    </row>
    <row r="182" spans="1:1">
      <c r="A182" s="7"/>
    </row>
    <row r="183" spans="1:1">
      <c r="A183" s="7"/>
    </row>
    <row r="184" spans="1:1">
      <c r="A184" s="7"/>
    </row>
    <row r="185" spans="1:1">
      <c r="A185" s="7"/>
    </row>
    <row r="186" spans="1:1">
      <c r="A186" s="7"/>
    </row>
    <row r="187" spans="1:1">
      <c r="A187" s="7"/>
    </row>
    <row r="188" spans="1:1">
      <c r="A188" s="7"/>
    </row>
    <row r="189" spans="1:1">
      <c r="A189" s="7"/>
    </row>
    <row r="190" spans="1:1">
      <c r="A190" s="7"/>
    </row>
    <row r="191" spans="1:1">
      <c r="A191" s="7"/>
    </row>
    <row r="192" spans="1:1">
      <c r="A192" s="7"/>
    </row>
    <row r="193" spans="1:1">
      <c r="A193" s="7"/>
    </row>
    <row r="194" spans="1:1">
      <c r="A194" s="7"/>
    </row>
    <row r="195" spans="1:1">
      <c r="A195" s="7"/>
    </row>
    <row r="196" spans="1:1">
      <c r="A196" s="7"/>
    </row>
    <row r="197" spans="1:1">
      <c r="A197" s="7"/>
    </row>
    <row r="198" spans="1:1">
      <c r="A198" s="7"/>
    </row>
    <row r="199" spans="1:1">
      <c r="A199" s="7"/>
    </row>
    <row r="200" spans="1:1">
      <c r="A200" s="7"/>
    </row>
    <row r="201" spans="1:1">
      <c r="A201" s="7"/>
    </row>
    <row r="202" spans="1:1">
      <c r="A202" s="7"/>
    </row>
    <row r="203" spans="1:1">
      <c r="A203" s="7"/>
    </row>
    <row r="204" spans="1:1">
      <c r="A204" s="7"/>
    </row>
    <row r="205" spans="1:1">
      <c r="A205" s="7"/>
    </row>
    <row r="206" spans="1:1">
      <c r="A206" s="7"/>
    </row>
    <row r="207" spans="1:1">
      <c r="A207" s="7"/>
    </row>
    <row r="208" spans="1:1">
      <c r="A208" s="7"/>
    </row>
    <row r="209" spans="1:1">
      <c r="A209" s="7"/>
    </row>
    <row r="210" spans="1:1">
      <c r="A210" s="7"/>
    </row>
    <row r="211" spans="1:1">
      <c r="A211" s="7"/>
    </row>
    <row r="212" spans="1:1">
      <c r="A212" s="7"/>
    </row>
    <row r="213" spans="1:1">
      <c r="A213" s="7"/>
    </row>
    <row r="214" spans="1:1">
      <c r="A214" s="7"/>
    </row>
    <row r="215" spans="1:1">
      <c r="A215" s="7"/>
    </row>
    <row r="216" spans="1:1">
      <c r="A216" s="7"/>
    </row>
    <row r="217" spans="1:1">
      <c r="A217" s="7"/>
    </row>
    <row r="218" spans="1:1">
      <c r="A218" s="7"/>
    </row>
    <row r="219" spans="1:1">
      <c r="A219" s="7"/>
    </row>
    <row r="220" spans="1:1">
      <c r="A220" s="7"/>
    </row>
    <row r="221" spans="1:1">
      <c r="A221" s="7"/>
    </row>
    <row r="222" spans="1:1">
      <c r="A222" s="7"/>
    </row>
    <row r="223" spans="1:1">
      <c r="A223" s="7"/>
    </row>
    <row r="224" spans="1:1">
      <c r="A224" s="7"/>
    </row>
    <row r="225" spans="1:1">
      <c r="A225" s="7"/>
    </row>
    <row r="226" spans="1:1">
      <c r="A226" s="7"/>
    </row>
    <row r="227" spans="1:1">
      <c r="A227" s="7"/>
    </row>
    <row r="228" spans="1:1">
      <c r="A228" s="7"/>
    </row>
    <row r="229" spans="1:1">
      <c r="A229" s="7"/>
    </row>
    <row r="230" spans="1:1">
      <c r="A230" s="7"/>
    </row>
    <row r="231" spans="1:1">
      <c r="A231" s="7"/>
    </row>
    <row r="232" spans="1:1">
      <c r="A232" s="7"/>
    </row>
    <row r="233" spans="1:1">
      <c r="A233" s="7"/>
    </row>
    <row r="234" spans="1:1">
      <c r="A234" s="7"/>
    </row>
    <row r="235" spans="1:1">
      <c r="A235" s="7"/>
    </row>
    <row r="236" spans="1:1">
      <c r="A236" s="7"/>
    </row>
    <row r="237" spans="1:1">
      <c r="A237" s="7"/>
    </row>
    <row r="238" spans="1:1">
      <c r="A238" s="7"/>
    </row>
    <row r="239" spans="1:1">
      <c r="A239" s="7"/>
    </row>
    <row r="240" spans="1:1">
      <c r="A240" s="7"/>
    </row>
    <row r="241" spans="1:1">
      <c r="A241" s="7"/>
    </row>
    <row r="242" spans="1:1">
      <c r="A242" s="7"/>
    </row>
    <row r="243" spans="1:1">
      <c r="A243" s="7"/>
    </row>
    <row r="244" spans="1:1">
      <c r="A244" s="7"/>
    </row>
    <row r="245" spans="1:1">
      <c r="A245" s="7"/>
    </row>
    <row r="246" spans="1:1">
      <c r="A246" s="7"/>
    </row>
    <row r="247" spans="1:1">
      <c r="A247" s="7"/>
    </row>
    <row r="248" spans="1:1">
      <c r="A248" s="7"/>
    </row>
    <row r="249" spans="1:1">
      <c r="A249" s="7"/>
    </row>
    <row r="250" spans="1:1">
      <c r="A250" s="7"/>
    </row>
    <row r="251" spans="1:1">
      <c r="A251" s="7"/>
    </row>
    <row r="252" spans="1:1">
      <c r="A252" s="7"/>
    </row>
    <row r="253" spans="1:1">
      <c r="A253" s="7"/>
    </row>
    <row r="254" spans="1:1">
      <c r="A254" s="7"/>
    </row>
    <row r="255" spans="1:1">
      <c r="A255" s="7"/>
    </row>
    <row r="256" spans="1:1">
      <c r="A256" s="7"/>
    </row>
    <row r="257" spans="1:1">
      <c r="A257" s="7"/>
    </row>
    <row r="258" spans="1:1">
      <c r="A258" s="7"/>
    </row>
    <row r="259" spans="1:1">
      <c r="A259" s="7"/>
    </row>
    <row r="260" spans="1:1">
      <c r="A260" s="7"/>
    </row>
    <row r="261" spans="1:1">
      <c r="A261" s="7"/>
    </row>
    <row r="262" spans="1:1">
      <c r="A262" s="7"/>
    </row>
    <row r="263" spans="1:1">
      <c r="A263" s="7"/>
    </row>
    <row r="264" spans="1:1">
      <c r="A264" s="7"/>
    </row>
    <row r="265" spans="1:1">
      <c r="A265" s="7"/>
    </row>
    <row r="266" spans="1:1">
      <c r="A266" s="7"/>
    </row>
    <row r="267" spans="1:1">
      <c r="A267" s="7"/>
    </row>
    <row r="268" spans="1:1">
      <c r="A268" s="7"/>
    </row>
    <row r="269" spans="1:1">
      <c r="A269" s="7"/>
    </row>
    <row r="270" spans="1:1">
      <c r="A270" s="7"/>
    </row>
    <row r="271" spans="1:1">
      <c r="A271" s="7"/>
    </row>
    <row r="272" spans="1:1">
      <c r="A272" s="7"/>
    </row>
    <row r="273" spans="1:1">
      <c r="A273" s="7"/>
    </row>
    <row r="274" spans="1:1">
      <c r="A274" s="7"/>
    </row>
    <row r="275" spans="1:1">
      <c r="A275" s="7"/>
    </row>
    <row r="276" spans="1:1">
      <c r="A276" s="7"/>
    </row>
    <row r="277" spans="1:1">
      <c r="A277" s="7"/>
    </row>
    <row r="278" spans="1:1">
      <c r="A278" s="7"/>
    </row>
    <row r="279" spans="1:1">
      <c r="A279" s="7"/>
    </row>
    <row r="280" spans="1:1">
      <c r="A280" s="7"/>
    </row>
    <row r="281" spans="1:1">
      <c r="A281" s="7"/>
    </row>
    <row r="282" spans="1:1">
      <c r="A282" s="7"/>
    </row>
    <row r="283" spans="1:1">
      <c r="A283" s="7"/>
    </row>
    <row r="284" spans="1:1">
      <c r="A284" s="7"/>
    </row>
    <row r="285" spans="1:1">
      <c r="A285" s="7"/>
    </row>
    <row r="286" spans="1:1">
      <c r="A286" s="7"/>
    </row>
    <row r="287" spans="1:1">
      <c r="A287" s="7"/>
    </row>
    <row r="288" spans="1:1">
      <c r="A288" s="7"/>
    </row>
    <row r="289" spans="1:1">
      <c r="A289" s="7"/>
    </row>
    <row r="290" spans="1:1">
      <c r="A290" s="7"/>
    </row>
    <row r="291" spans="1:1">
      <c r="A291" s="7"/>
    </row>
    <row r="292" spans="1:1">
      <c r="A292" s="7"/>
    </row>
    <row r="293" spans="1:1">
      <c r="A293" s="7"/>
    </row>
    <row r="294" spans="1:1">
      <c r="A294" s="7"/>
    </row>
    <row r="295" spans="1:1">
      <c r="A295" s="7"/>
    </row>
    <row r="296" spans="1:1">
      <c r="A296" s="7"/>
    </row>
    <row r="297" spans="1:1">
      <c r="A297" s="7"/>
    </row>
    <row r="298" spans="1:1">
      <c r="A298" s="7"/>
    </row>
    <row r="299" spans="1:1">
      <c r="A299" s="7"/>
    </row>
    <row r="300" spans="1:1">
      <c r="A300" s="7"/>
    </row>
    <row r="301" spans="1:1">
      <c r="A301" s="7"/>
    </row>
    <row r="302" spans="1:1">
      <c r="A302" s="7"/>
    </row>
    <row r="303" spans="1:1">
      <c r="A303" s="7"/>
    </row>
    <row r="304" spans="1:1">
      <c r="A304" s="7"/>
    </row>
    <row r="305" spans="1:1">
      <c r="A305" s="7"/>
    </row>
    <row r="306" spans="1:1">
      <c r="A306" s="7"/>
    </row>
    <row r="307" spans="1:1">
      <c r="A307" s="7"/>
    </row>
    <row r="308" spans="1:1">
      <c r="A308" s="7"/>
    </row>
    <row r="309" spans="1:1">
      <c r="A309" s="7"/>
    </row>
    <row r="310" spans="1:1">
      <c r="A310" s="7"/>
    </row>
    <row r="311" spans="1:1">
      <c r="A311" s="7"/>
    </row>
    <row r="312" spans="1:1">
      <c r="A312" s="7"/>
    </row>
    <row r="313" spans="1:1">
      <c r="A313" s="7"/>
    </row>
    <row r="314" spans="1:1">
      <c r="A314" s="7"/>
    </row>
    <row r="315" spans="1:1">
      <c r="A315" s="7"/>
    </row>
    <row r="316" spans="1:1">
      <c r="A316" s="7"/>
    </row>
    <row r="317" spans="1:1">
      <c r="A317" s="7"/>
    </row>
    <row r="318" spans="1:1">
      <c r="A318" s="7"/>
    </row>
    <row r="319" spans="1:1">
      <c r="A319" s="7"/>
    </row>
    <row r="320" spans="1:1">
      <c r="A320" s="7"/>
    </row>
    <row r="321" spans="1:1">
      <c r="A321" s="7"/>
    </row>
    <row r="322" spans="1:1">
      <c r="A322" s="7"/>
    </row>
    <row r="323" spans="1:1">
      <c r="A323" s="7"/>
    </row>
    <row r="324" spans="1:1">
      <c r="A324" s="7"/>
    </row>
    <row r="325" spans="1:1">
      <c r="A325" s="7"/>
    </row>
    <row r="326" spans="1:1">
      <c r="A326" s="7"/>
    </row>
    <row r="327" spans="1:1">
      <c r="A327" s="7"/>
    </row>
    <row r="328" spans="1:1">
      <c r="A328" s="7"/>
    </row>
    <row r="329" spans="1:1">
      <c r="A329" s="7"/>
    </row>
    <row r="330" spans="1:1">
      <c r="A330" s="7"/>
    </row>
    <row r="331" spans="1:1">
      <c r="A331" s="7"/>
    </row>
    <row r="332" spans="1:1">
      <c r="A332" s="7"/>
    </row>
    <row r="333" spans="1:1">
      <c r="A333" s="7"/>
    </row>
    <row r="334" spans="1:1">
      <c r="A334" s="7"/>
    </row>
    <row r="335" spans="1:1">
      <c r="A335" s="7"/>
    </row>
    <row r="336" spans="1:1">
      <c r="A336" s="7"/>
    </row>
    <row r="337" spans="1:1">
      <c r="A337" s="7"/>
    </row>
    <row r="338" spans="1:1">
      <c r="A338" s="7"/>
    </row>
    <row r="339" spans="1:1">
      <c r="A339" s="7"/>
    </row>
    <row r="340" spans="1:1">
      <c r="A340" s="7"/>
    </row>
    <row r="341" spans="1:1">
      <c r="A341" s="7"/>
    </row>
    <row r="342" spans="1:1">
      <c r="A342" s="7"/>
    </row>
    <row r="343" spans="1:1">
      <c r="A343" s="7"/>
    </row>
    <row r="344" spans="1:1">
      <c r="A344" s="7"/>
    </row>
    <row r="345" spans="1:1">
      <c r="A345" s="7"/>
    </row>
    <row r="346" spans="1:1">
      <c r="A346" s="7"/>
    </row>
    <row r="347" spans="1:1">
      <c r="A347" s="7"/>
    </row>
    <row r="348" spans="1:1">
      <c r="A348" s="7"/>
    </row>
    <row r="349" spans="1:1">
      <c r="A349" s="7"/>
    </row>
    <row r="350" spans="1:1">
      <c r="A350" s="7"/>
    </row>
    <row r="351" spans="1:1">
      <c r="A351" s="7"/>
    </row>
    <row r="352" spans="1:1">
      <c r="A352" s="7"/>
    </row>
    <row r="353" spans="1:1">
      <c r="A353" s="7"/>
    </row>
    <row r="354" spans="1:1">
      <c r="A354" s="7"/>
    </row>
    <row r="355" spans="1:1">
      <c r="A355" s="7"/>
    </row>
    <row r="356" spans="1:1">
      <c r="A356" s="7"/>
    </row>
    <row r="357" spans="1:1">
      <c r="A357" s="7"/>
    </row>
    <row r="358" spans="1:1">
      <c r="A358" s="7"/>
    </row>
    <row r="359" spans="1:1">
      <c r="A359" s="7"/>
    </row>
    <row r="360" spans="1:1">
      <c r="A360" s="7"/>
    </row>
    <row r="361" spans="1:1">
      <c r="A361" s="7"/>
    </row>
    <row r="362" spans="1:1">
      <c r="A362" s="7"/>
    </row>
    <row r="363" spans="1:1">
      <c r="A363" s="7"/>
    </row>
    <row r="364" spans="1:1">
      <c r="A364" s="7"/>
    </row>
    <row r="365" spans="1:1">
      <c r="A365" s="7"/>
    </row>
    <row r="366" spans="1:1">
      <c r="A366" s="7"/>
    </row>
    <row r="367" spans="1:1">
      <c r="A367" s="7"/>
    </row>
    <row r="368" spans="1:1">
      <c r="A368" s="7"/>
    </row>
    <row r="369" spans="1:1">
      <c r="A369" s="7"/>
    </row>
    <row r="370" spans="1:1">
      <c r="A370" s="7"/>
    </row>
    <row r="371" spans="1:1">
      <c r="A371" s="7"/>
    </row>
    <row r="372" spans="1:1">
      <c r="A372" s="7"/>
    </row>
    <row r="373" spans="1:1">
      <c r="A373" s="7"/>
    </row>
    <row r="374" spans="1:1">
      <c r="A374" s="7"/>
    </row>
    <row r="375" spans="1:1">
      <c r="A375" s="7"/>
    </row>
    <row r="376" spans="1:1">
      <c r="A376" s="7"/>
    </row>
    <row r="377" spans="1:1">
      <c r="A377" s="7"/>
    </row>
    <row r="378" spans="1:1">
      <c r="A378" s="7"/>
    </row>
    <row r="379" spans="1:1">
      <c r="A379" s="7"/>
    </row>
    <row r="380" spans="1:1">
      <c r="A380" s="7"/>
    </row>
    <row r="381" spans="1:1">
      <c r="A381" s="7"/>
    </row>
    <row r="382" spans="1:1">
      <c r="A382" s="7"/>
    </row>
    <row r="383" spans="1:1">
      <c r="A383" s="7"/>
    </row>
    <row r="384" spans="1:1">
      <c r="A384" s="7"/>
    </row>
    <row r="385" spans="1:1">
      <c r="A385" s="7"/>
    </row>
    <row r="386" spans="1:1">
      <c r="A386" s="7"/>
    </row>
    <row r="387" spans="1:1">
      <c r="A387" s="7"/>
    </row>
    <row r="388" spans="1:1">
      <c r="A388" s="7"/>
    </row>
    <row r="389" spans="1:1">
      <c r="A389" s="7"/>
    </row>
    <row r="390" spans="1:1">
      <c r="A390" s="7"/>
    </row>
    <row r="391" spans="1:1">
      <c r="A391" s="7"/>
    </row>
    <row r="392" spans="1:1">
      <c r="A392" s="7"/>
    </row>
    <row r="393" spans="1:1">
      <c r="A393" s="7"/>
    </row>
    <row r="394" spans="1:1">
      <c r="A394" s="7"/>
    </row>
    <row r="395" spans="1:1">
      <c r="A395" s="7"/>
    </row>
    <row r="396" spans="1:1">
      <c r="A396" s="7"/>
    </row>
    <row r="397" spans="1:1">
      <c r="A397" s="7"/>
    </row>
    <row r="398" spans="1:1">
      <c r="A398" s="7"/>
    </row>
    <row r="399" spans="1:1">
      <c r="A399" s="7"/>
    </row>
    <row r="400" spans="1:1">
      <c r="A400" s="7"/>
    </row>
    <row r="401" spans="1:1">
      <c r="A401" s="7"/>
    </row>
    <row r="402" spans="1:1">
      <c r="A402" s="7"/>
    </row>
    <row r="403" spans="1:1">
      <c r="A403" s="7"/>
    </row>
    <row r="404" spans="1:1">
      <c r="A404" s="7"/>
    </row>
    <row r="405" spans="1:1">
      <c r="A405" s="7"/>
    </row>
    <row r="406" spans="1:1">
      <c r="A406" s="7"/>
    </row>
    <row r="407" spans="1:1">
      <c r="A407" s="7"/>
    </row>
    <row r="408" spans="1:1">
      <c r="A408" s="7"/>
    </row>
    <row r="409" spans="1:1">
      <c r="A409" s="7"/>
    </row>
    <row r="410" spans="1:1">
      <c r="A410" s="7"/>
    </row>
    <row r="411" spans="1:1">
      <c r="A411" s="7"/>
    </row>
    <row r="412" spans="1:1">
      <c r="A412" s="7"/>
    </row>
    <row r="413" spans="1:1">
      <c r="A413" s="7"/>
    </row>
    <row r="414" spans="1:1">
      <c r="A414" s="7"/>
    </row>
    <row r="415" spans="1:1">
      <c r="A415" s="7"/>
    </row>
    <row r="416" spans="1:1">
      <c r="A416" s="7"/>
    </row>
    <row r="417" spans="1:1">
      <c r="A417" s="7"/>
    </row>
    <row r="418" spans="1:1">
      <c r="A418" s="7"/>
    </row>
    <row r="419" spans="1:1">
      <c r="A419" s="7"/>
    </row>
    <row r="420" spans="1:1">
      <c r="A420" s="7"/>
    </row>
    <row r="421" spans="1:1">
      <c r="A421" s="7"/>
    </row>
    <row r="422" spans="1:1">
      <c r="A422" s="7"/>
    </row>
    <row r="423" spans="1:1">
      <c r="A423" s="7"/>
    </row>
    <row r="424" spans="1:1">
      <c r="A424" s="7"/>
    </row>
    <row r="425" spans="1:1">
      <c r="A425" s="7"/>
    </row>
    <row r="426" spans="1:1">
      <c r="A426" s="7"/>
    </row>
    <row r="427" spans="1:1">
      <c r="A427" s="7"/>
    </row>
    <row r="428" spans="1:1">
      <c r="A428" s="7"/>
    </row>
    <row r="429" spans="1:1">
      <c r="A429" s="7"/>
    </row>
    <row r="430" spans="1:1">
      <c r="A430" s="7"/>
    </row>
    <row r="431" spans="1:1">
      <c r="A431" s="7"/>
    </row>
    <row r="432" spans="1:1">
      <c r="A432" s="7"/>
    </row>
    <row r="433" spans="1:1">
      <c r="A433" s="7"/>
    </row>
    <row r="434" spans="1:1">
      <c r="A434" s="7"/>
    </row>
    <row r="435" spans="1:1">
      <c r="A435" s="7"/>
    </row>
    <row r="436" spans="1:1">
      <c r="A436" s="7"/>
    </row>
    <row r="437" spans="1:1">
      <c r="A437" s="7"/>
    </row>
    <row r="438" spans="1:1">
      <c r="A438" s="7"/>
    </row>
    <row r="439" spans="1:1">
      <c r="A439" s="7"/>
    </row>
    <row r="440" spans="1:1">
      <c r="A440" s="7"/>
    </row>
    <row r="441" spans="1:1">
      <c r="A441" s="7"/>
    </row>
    <row r="442" spans="1:1">
      <c r="A442" s="7"/>
    </row>
    <row r="443" spans="1:1">
      <c r="A443" s="7"/>
    </row>
    <row r="444" spans="1:1">
      <c r="A444" s="7"/>
    </row>
    <row r="445" spans="1:1">
      <c r="A445" s="7"/>
    </row>
    <row r="446" spans="1:1">
      <c r="A446" s="7"/>
    </row>
    <row r="447" spans="1:1">
      <c r="A447" s="7"/>
    </row>
    <row r="448" spans="1:1">
      <c r="A448" s="7"/>
    </row>
    <row r="449" spans="1:1">
      <c r="A449" s="7"/>
    </row>
    <row r="450" spans="1:1">
      <c r="A450" s="7"/>
    </row>
    <row r="451" spans="1:1">
      <c r="A451" s="7"/>
    </row>
    <row r="452" spans="1:1">
      <c r="A452" s="7"/>
    </row>
    <row r="453" spans="1:1">
      <c r="A453" s="7"/>
    </row>
    <row r="454" spans="1:1">
      <c r="A454" s="7"/>
    </row>
    <row r="455" spans="1:1">
      <c r="A455" s="7"/>
    </row>
    <row r="456" spans="1:1">
      <c r="A456" s="7"/>
    </row>
    <row r="457" spans="1:1">
      <c r="A457" s="7"/>
    </row>
    <row r="458" spans="1:1">
      <c r="A458" s="7"/>
    </row>
    <row r="459" spans="1:1">
      <c r="A459" s="7"/>
    </row>
    <row r="460" spans="1:1">
      <c r="A460" s="7"/>
    </row>
    <row r="461" spans="1:1">
      <c r="A461" s="7"/>
    </row>
    <row r="462" spans="1:1">
      <c r="A462" s="7"/>
    </row>
    <row r="463" spans="1:1">
      <c r="A463" s="7"/>
    </row>
    <row r="464" spans="1:1">
      <c r="A464" s="7"/>
    </row>
    <row r="465" spans="1:1">
      <c r="A465" s="7"/>
    </row>
    <row r="466" spans="1:1">
      <c r="A466" s="7"/>
    </row>
    <row r="467" spans="1:1">
      <c r="A467" s="7"/>
    </row>
    <row r="468" spans="1:1">
      <c r="A468" s="7"/>
    </row>
    <row r="469" spans="1:1">
      <c r="A469" s="7"/>
    </row>
    <row r="470" spans="1:1">
      <c r="A470" s="7"/>
    </row>
    <row r="471" spans="1:1">
      <c r="A471" s="7"/>
    </row>
    <row r="472" spans="1:1">
      <c r="A472" s="7"/>
    </row>
    <row r="473" spans="1:1">
      <c r="A473" s="7"/>
    </row>
    <row r="474" spans="1:1">
      <c r="A474" s="7"/>
    </row>
    <row r="475" spans="1:1">
      <c r="A475" s="7"/>
    </row>
    <row r="476" spans="1:1">
      <c r="A476" s="7"/>
    </row>
    <row r="477" spans="1:1">
      <c r="A477" s="7"/>
    </row>
    <row r="478" spans="1:1">
      <c r="A478" s="7"/>
    </row>
    <row r="479" spans="1:1">
      <c r="A479" s="7"/>
    </row>
    <row r="480" spans="1:1">
      <c r="A480" s="7"/>
    </row>
    <row r="481" spans="1:1">
      <c r="A481" s="7"/>
    </row>
    <row r="482" spans="1:1">
      <c r="A482" s="7"/>
    </row>
    <row r="483" spans="1:1">
      <c r="A483" s="7"/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3</vt:i4>
      </vt:variant>
    </vt:vector>
  </HeadingPairs>
  <TitlesOfParts>
    <vt:vector size="12" baseType="lpstr">
      <vt:lpstr>園児情報</vt:lpstr>
      <vt:lpstr>保育士情報</vt:lpstr>
      <vt:lpstr>保育体制確認表</vt:lpstr>
      <vt:lpstr>勤務表</vt:lpstr>
      <vt:lpstr>ガントチャート</vt:lpstr>
      <vt:lpstr>卒園児</vt:lpstr>
      <vt:lpstr>Sheet5</vt:lpstr>
      <vt:lpstr>データ</vt:lpstr>
      <vt:lpstr>祝日データ</vt:lpstr>
      <vt:lpstr>勤務表!Print_Area</vt:lpstr>
      <vt:lpstr>保育体制確認表!Print_Area</vt:lpstr>
      <vt:lpstr>保育士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小嶋凌弥</dc:creator>
  <cp:lastModifiedBy>佐藤恭祐</cp:lastModifiedBy>
  <cp:lastPrinted>2016-07-15T06:34:26Z</cp:lastPrinted>
  <dcterms:created xsi:type="dcterms:W3CDTF">2016-06-14T04:35:16Z</dcterms:created>
  <dcterms:modified xsi:type="dcterms:W3CDTF">2016-10-20T05:52:29Z</dcterms:modified>
</cp:coreProperties>
</file>